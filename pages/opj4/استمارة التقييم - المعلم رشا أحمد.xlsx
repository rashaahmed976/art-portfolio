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emiratesschoolsese.sharepoint.com/sites/2021-202215/Shared Documents/العام الدراسي 2025-2026/الشؤون الأكاديمية/خاص/استمارات التقييم/الاستمارات/المواد الدراسية/الفصل3/"/>
    </mc:Choice>
  </mc:AlternateContent>
  <xr:revisionPtr revIDLastSave="0" documentId="8_{60C16AEA-E079-4CC6-8249-40DEC046B280}" xr6:coauthVersionLast="47" xr6:coauthVersionMax="47" xr10:uidLastSave="{00000000-0000-0000-0000-000000000000}"/>
  <bookViews>
    <workbookView xWindow="-120" yWindow="-120" windowWidth="29040" windowHeight="15720" firstSheet="2" activeTab="2" xr2:uid="{00000000-000D-0000-FFFF-FFFF00000000}"/>
  </bookViews>
  <sheets>
    <sheet name="تعليمات" sheetId="1" state="hidden" r:id="rId1"/>
    <sheet name="لوحة المدرسة" sheetId="6" state="hidden" r:id="rId2"/>
    <sheet name="التقييم" sheetId="2" r:id="rId3"/>
    <sheet name="التحليل" sheetId="3" r:id="rId4"/>
    <sheet name="خطة الدعم والتطوير" sheetId="4" r:id="rId5"/>
    <sheet name="بيانات مساعدة" sheetId="5" state="hidden" r:id="rId6"/>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G3" i="2"/>
  <c r="H7"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H3" i="3"/>
  <c r="G3" i="4"/>
  <c r="F3" i="4"/>
  <c r="E3" i="4"/>
  <c r="D3" i="4"/>
  <c r="B3" i="4"/>
  <c r="A3" i="4"/>
  <c r="G3" i="3"/>
  <c r="F3" i="3"/>
  <c r="E3" i="3"/>
  <c r="C3" i="3"/>
  <c r="B3" i="3"/>
  <c r="D6" i="6"/>
  <c r="C6" i="6"/>
  <c r="B6" i="6"/>
  <c r="A6" i="6"/>
  <c r="F11" i="3"/>
  <c r="G11" i="3"/>
  <c r="F10" i="3"/>
  <c r="G10" i="3"/>
  <c r="F9" i="3"/>
  <c r="G9" i="3"/>
  <c r="C9" i="3"/>
  <c r="F8" i="3"/>
  <c r="G8" i="3"/>
  <c r="F7" i="3"/>
  <c r="G7" i="3"/>
  <c r="F6" i="3"/>
  <c r="G6" i="3"/>
  <c r="C6" i="3"/>
  <c r="I3" i="2"/>
  <c r="G6" i="6"/>
  <c r="B28" i="4"/>
  <c r="B22" i="4"/>
  <c r="G22" i="4"/>
  <c r="B14" i="4"/>
  <c r="G14" i="4"/>
  <c r="F6" i="6"/>
  <c r="J7" i="6"/>
  <c r="C7" i="3"/>
  <c r="B9" i="4"/>
  <c r="D9" i="4"/>
  <c r="B10" i="4"/>
  <c r="E6" i="6"/>
  <c r="J6" i="6"/>
  <c r="B6" i="4"/>
  <c r="D6" i="4"/>
  <c r="B21" i="4"/>
  <c r="G21" i="4"/>
  <c r="B18" i="4"/>
  <c r="G18" i="4"/>
  <c r="B20" i="4"/>
  <c r="B24" i="4"/>
  <c r="G24" i="4"/>
  <c r="B15" i="4"/>
  <c r="G15" i="4"/>
  <c r="B23" i="4"/>
  <c r="G23" i="4"/>
  <c r="B13" i="4"/>
  <c r="B8" i="4"/>
  <c r="D8" i="4"/>
  <c r="B11" i="4"/>
  <c r="B19" i="4"/>
  <c r="B7" i="4"/>
  <c r="D7" i="4"/>
  <c r="B27" i="4"/>
  <c r="B12" i="4"/>
  <c r="B26" i="4"/>
  <c r="B25" i="4"/>
  <c r="B16" i="4"/>
  <c r="B29" i="4"/>
  <c r="B17" i="4"/>
  <c r="G7" i="4"/>
  <c r="G10" i="4"/>
  <c r="D10" i="4"/>
  <c r="G8" i="4"/>
  <c r="G9" i="4"/>
  <c r="F26" i="4"/>
  <c r="G26" i="4"/>
  <c r="F19" i="4"/>
  <c r="G19" i="4"/>
  <c r="F29" i="4"/>
  <c r="G29" i="4"/>
  <c r="F12" i="4"/>
  <c r="G12" i="4"/>
  <c r="F11" i="4"/>
  <c r="G11" i="4"/>
  <c r="F16" i="4"/>
  <c r="G16" i="4"/>
  <c r="F27" i="4"/>
  <c r="G27" i="4"/>
  <c r="F28" i="4"/>
  <c r="G28" i="4"/>
  <c r="F13" i="4"/>
  <c r="G13" i="4"/>
  <c r="F25" i="4"/>
  <c r="G25" i="4"/>
  <c r="F20" i="4"/>
  <c r="G20" i="4"/>
  <c r="F17" i="4"/>
  <c r="G17" i="4"/>
  <c r="F6" i="4"/>
  <c r="G6" i="4"/>
  <c r="F9" i="4"/>
  <c r="C22" i="4"/>
  <c r="F22" i="4"/>
  <c r="F8" i="4"/>
  <c r="F24" i="4"/>
  <c r="F7" i="4"/>
  <c r="D15" i="4"/>
  <c r="F15" i="4"/>
  <c r="D21" i="4"/>
  <c r="F21" i="4"/>
  <c r="D23" i="4"/>
  <c r="F23" i="4"/>
  <c r="C18" i="4"/>
  <c r="F18" i="4"/>
  <c r="E10" i="4"/>
  <c r="F10" i="4"/>
  <c r="F14" i="4"/>
  <c r="E22" i="4"/>
  <c r="E28" i="4"/>
  <c r="C10" i="4"/>
  <c r="D22" i="4"/>
  <c r="C28" i="4"/>
  <c r="D28" i="4"/>
  <c r="C9" i="4"/>
  <c r="D14" i="4"/>
  <c r="C14" i="4"/>
  <c r="D18" i="4"/>
  <c r="E24" i="4"/>
  <c r="E14" i="4"/>
  <c r="D20" i="4"/>
  <c r="E6" i="4"/>
  <c r="E9" i="4"/>
  <c r="C23" i="4"/>
  <c r="E21" i="4"/>
  <c r="E15" i="4"/>
  <c r="C8" i="3"/>
  <c r="C6" i="4"/>
  <c r="E18" i="4"/>
  <c r="C21" i="4"/>
  <c r="C20" i="4"/>
  <c r="C15" i="4"/>
  <c r="E23" i="4"/>
  <c r="E20" i="4"/>
  <c r="D24" i="4"/>
  <c r="C24" i="4"/>
  <c r="C29" i="4"/>
  <c r="D29" i="4"/>
  <c r="E29" i="4"/>
  <c r="D12" i="4"/>
  <c r="C12" i="4"/>
  <c r="E12" i="4"/>
  <c r="E13" i="4"/>
  <c r="D13" i="4"/>
  <c r="C13" i="4"/>
  <c r="C7" i="4"/>
  <c r="E7" i="4"/>
  <c r="C16" i="4"/>
  <c r="D16" i="4"/>
  <c r="E16" i="4"/>
  <c r="E27" i="4"/>
  <c r="C27" i="4"/>
  <c r="D27" i="4"/>
  <c r="C19" i="4"/>
  <c r="D19" i="4"/>
  <c r="E19" i="4"/>
  <c r="C25" i="4"/>
  <c r="E25" i="4"/>
  <c r="D25" i="4"/>
  <c r="E11" i="4"/>
  <c r="C11" i="4"/>
  <c r="D11" i="4"/>
  <c r="E17" i="4"/>
  <c r="D17" i="4"/>
  <c r="C17" i="4"/>
  <c r="E26" i="4"/>
  <c r="D26" i="4"/>
  <c r="C26" i="4"/>
  <c r="E8" i="4"/>
  <c r="C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G3" authorId="0" shapeId="0" xr:uid="{31312318-4724-474C-9315-3EB1C7B03968}">
      <text>
        <r>
          <rPr>
            <sz val="11"/>
            <color theme="1"/>
            <rFont val="Calibri"/>
            <family val="2"/>
            <scheme val="minor"/>
          </rPr>
          <t>الربط المستخدم: 3.5-4.2 = جيد، 4.3-5.0 = جيد جدا</t>
        </r>
      </text>
    </comment>
  </commentList>
</comments>
</file>

<file path=xl/sharedStrings.xml><?xml version="1.0" encoding="utf-8"?>
<sst xmlns="http://schemas.openxmlformats.org/spreadsheetml/2006/main" count="518" uniqueCount="483">
  <si>
    <t>استمارة تقييم الزيارة الصفية Classroom Visit Evaluation Form
مدرسة عبدالله بن ناصر الحلقة الثانية بنين Abdullah Bin Nasser Cycle 2 Boys School
معلم Teacher</t>
  </si>
  <si>
    <t>دليل الاستخدام السريع
Quick User Guide</t>
  </si>
  <si>
    <t>1) يعبئ المعلم بياناته في أعلى ورقة التقييم الذاتي.
1) The teacher fills in the information at the top of the self-evaluation sheet.</t>
  </si>
  <si>
    <t>2) يختار درجة من 1 إلى 5 لكل مؤشر في عمود: اختياري (1-5).
2) Select a score from 1 to 5 for each indicator in the Optional Score column.</t>
  </si>
  <si>
    <t>3) يظهر تلقائيا الوصف المختار والمثال المساعد بحسب الدرجة.
3) The selected descriptor and supporting example appear automatically according to the score.</t>
  </si>
  <si>
    <t>4) يكتب المعلم في عمود: دليلي من الممارسة، شاهدا مختصرا على أدائه.
4) The teacher writes brief evidence of practice in the “My Evidence from Practice” column.</t>
  </si>
  <si>
    <t>5) في ورقة التحليل التلقائي يظهر المتوسط العام ومستوى التفتيش (جيد/جيد جدا/مقبول).
5) The analysis sheet shows the overall average and inspection level (Good / Very Good / Acceptable).</t>
  </si>
  <si>
    <t>6) في ورقة الخطة التلقائية تظهر أهم 3 أولويات مع توصية فورية وإجراء تنفيذي.
6) The automatic plan shows the top three priorities with an immediate recommendation and action step.</t>
  </si>
  <si>
    <t>7) تستخدم لوحة المدرسة لتجميع نتائج عدة معلمين يدويا لأغراض المتابعة المدرسية.
7) The school dashboard is used to manually consolidate results for several teachers for follow-up purposes.</t>
  </si>
  <si>
    <t>مفتاح الدرجات
Scoring Key</t>
  </si>
  <si>
    <t>1 = يحتاج إلى تحسين | 2 = منخفض | 3 = جيد | 4 = يفوق التوقعات | 5 = يفوق التوقعات بشكل ملحوظ
1 = Needs Improvement | 2 = Low | 3 = Good | 4 = Exceeds Expectations | 5 = Significantly Exceeds Expectations</t>
  </si>
  <si>
    <t>مديرة المدرسة
School Principal</t>
  </si>
  <si>
    <t>شيخة أحمد حسن الحساني
Shaikha Ahmed Hasan Al Hassani</t>
  </si>
  <si>
    <t>اسم المعلم
Teacher Name</t>
  </si>
  <si>
    <t>المادة
Subject</t>
  </si>
  <si>
    <t>رقم الأوراكل
Oracle Number</t>
  </si>
  <si>
    <t>تاريخ الزيارة
Visit Date</t>
  </si>
  <si>
    <t>المتوسط
Average</t>
  </si>
  <si>
    <t>المستوى
Level</t>
  </si>
  <si>
    <t>مجموع الأولويات
Total Priorities</t>
  </si>
  <si>
    <t>ملخص</t>
  </si>
  <si>
    <t>عدد المعلمين - جيد</t>
  </si>
  <si>
    <t>عدد المعلمين - جيد جدا</t>
  </si>
  <si>
    <t>التعلم الواقعي
Realistic Learning</t>
  </si>
  <si>
    <t>المتوسط العام
Overall Average</t>
  </si>
  <si>
    <t>المستوى التفتيشي
Inspection Level</t>
  </si>
  <si>
    <t>عدد الأولويات
Number of Priorities</t>
  </si>
  <si>
    <t>رشا احمد محمود عبدالسلام</t>
  </si>
  <si>
    <t>الصف والشعبة
Grade and Section</t>
  </si>
  <si>
    <t>ثامن متقدم</t>
  </si>
  <si>
    <t>عدد الطلاب
Number of Students</t>
  </si>
  <si>
    <t>عدد أصحاب الهمم
Number of Students of Determination</t>
  </si>
  <si>
    <t>الفنون البصرية</t>
  </si>
  <si>
    <t>التاريخ
Date</t>
  </si>
  <si>
    <t>13/5/2026</t>
  </si>
  <si>
    <t>عدد الحضور
Attendance</t>
  </si>
  <si>
    <t>عنوان الدرس
Lesson Title</t>
  </si>
  <si>
    <t>الحصة
Period</t>
  </si>
  <si>
    <t>الثانية</t>
  </si>
  <si>
    <t>عدد الغياب
Absences</t>
  </si>
  <si>
    <t>ناتج التعلم
Learning Outcome</t>
  </si>
  <si>
    <t>المجال
Domain</t>
  </si>
  <si>
    <t>المؤشر
Indicator</t>
  </si>
  <si>
    <t>1 يحتاج إلى تحسين
1 Needs Improvement</t>
  </si>
  <si>
    <t>2 منخفض
2 Low</t>
  </si>
  <si>
    <t>3 جيد
3 Good</t>
  </si>
  <si>
    <t>4 يفوق التوقعات
4 Exceeds Expectations</t>
  </si>
  <si>
    <t>5 يفوق التوقعات بشكل ملحوظ
5 Significantly Exceeds Expectations</t>
  </si>
  <si>
    <t>اختياري (1-5)
Optional (1-5)</t>
  </si>
  <si>
    <t>الوصف المختار
Selected Description</t>
  </si>
  <si>
    <t>ترتيب الأولوية
Priority Order</t>
  </si>
  <si>
    <t>الشواهد
Evidence</t>
  </si>
  <si>
    <t>التغذية الراجعة
Feedback</t>
  </si>
  <si>
    <t>التخطيط والتهيئة الحافزة
Planning and Motivating Introduction</t>
  </si>
  <si>
    <t>إعداد خطة درس متكاملة
Preparing an Integrated Lesson Plan</t>
  </si>
  <si>
    <t>الخطة غير واضحة أو منسوخة ولا ترتبط بالنواتج.
The plan is unclear or copied and not linked to outcomes.</t>
  </si>
  <si>
    <t>توجد خطة لكن التنفيذ غير متسق مع الزمن والنواتج.
A plan exists, but implementation is not aligned with time and outcomes.</t>
  </si>
  <si>
    <t>الخطة واضحة وتدعم تحقيق نواتج التعلم.
The plan is clear and supports learning outcomes.</t>
  </si>
  <si>
    <t>الخطة جاذبة ومنظمة وتخدم معظم المتعلمين.
The plan is engaging, organized, and serves most learners.</t>
  </si>
  <si>
    <t>الخطة إبداعية ومترابطة وتحقق تعلم جميع المتعلمين.
The plan is creative, coherent, and supports all learners.</t>
  </si>
  <si>
    <t>خطة درس مكتوبة - توزيع زمني - ربط الأنشطة بالنواتج - تحضير يومي/أسبوعي
Time allocation - Activity/outcome alignment - Written lesson plan - Daily/weekly preparation</t>
  </si>
  <si>
    <t>التخطيط كان جاذبًا ومنظمًا ويدعم تعلم غالبية الطلبة بصورة فعالة.</t>
  </si>
  <si>
    <t>أستخدم خطة سابقة كما هي دون تعديل للحصة الحالية.
I use a previous plan as it is without adapting it to the current lesson.</t>
  </si>
  <si>
    <t>أكتب أهدافا وأنشطة، لكن بعض الأنشطة لا ينفذ فعليا داخل الحصة.
I write objectives and activities, but some activities are not actually implemented in the lesson.</t>
  </si>
  <si>
    <t>أحدد ناتجا مثل: يفسر الطالب المفهوم، وأخصص نشاطا مناسبا له.
I identify an outcome, such as: the student explains the concept, and allocate a suitable activity for it.</t>
  </si>
  <si>
    <t>أوزع وقت الحصة بين تمهيد ونشاط وتطبيق وتقويم ويشارك معظم الطلبة.
I distribute lesson time among introduction, activity, application, and assessment, with most students participating.</t>
  </si>
  <si>
    <t>أبني الحصة على مشروع أو مهمة أصيلة يقودها الطلبة وتصل بالجميع للناتج.
I build the lesson around a project or authentic task led by students that enables everyone to reach the outcome.</t>
  </si>
  <si>
    <t>تقديم تهيئة حافزة
Providing a Motivating Introduction</t>
  </si>
  <si>
    <t>لا أقدم تهيئة للدرس.
No lesson introduction is provided.</t>
  </si>
  <si>
    <t>أقدم تهيئة غير مناسبة أو ضعيفة الارتباط بالدرس.
The introduction is unsuitable or weakly linked to the lesson.</t>
  </si>
  <si>
    <t>أقدم تهيئة مناسبة تساعد على بدء التعلم.
A suitable introduction helps start learning.</t>
  </si>
  <si>
    <t>أقدم تهيئة محفزة مرتبطة بموضوع الدرس.
A motivating introduction is linked to the lesson topic.</t>
  </si>
  <si>
    <t>أقدم تهيئة مشوقة تثير الفضول والتفكير من بداية الحصة.
An engaging introduction stimulates curiosity and thinking from the start.</t>
  </si>
  <si>
    <t>صورة/فيديو للتهيئة - أسئلة افتتاحية - نشاط تمهيدي - ملاحظات صفية
Image/video - Opening questions - Starter activity - Classroom notes</t>
  </si>
  <si>
    <t>التهيئة كانت مشوقة ومحفزة وأسهمت في إثارة الفضول منذ بداية الحصة.</t>
  </si>
  <si>
    <t>أبدأ الشرح مباشرة دون تمهيد.
I start teaching directly without an introduction.</t>
  </si>
  <si>
    <t>أطرح سؤالا عاما لا يقود إلى موضوع الدرس.
I ask a general question that does not lead to the lesson topic.</t>
  </si>
  <si>
    <t>أعرض سؤالا أو صورة مرتبطة تمهد للموضوع.
I show a related question or image that prepares for the topic.</t>
  </si>
  <si>
    <t>أستخدم موقفا أو فيديو قصيرا يثير النقاش حول فكرة الدرس.
I use a situation or short video that stimulates discussion around the lesson idea.</t>
  </si>
  <si>
    <t>أبدأ بقصة أو مشكلة واقعية تدفع الطلبة لتوقع موضوع الدرس واستكشافه.
I start with a story or real-life problem that leads students to predict and explore the lesson topic.</t>
  </si>
  <si>
    <t>عرض نواتج التعلم وبناء الوعي بها
Presenting and Building Awareness of Learning Outcomes</t>
  </si>
  <si>
    <t>لا أعرض نواتج التعلم على المتعلمين.
Learning outcomes are not presented to learners.</t>
  </si>
  <si>
    <t>أعرض النواتج دون التأكد من فهم المتعلمين لها.
Outcomes are presented without checking learners’ understanding.</t>
  </si>
  <si>
    <t>أعرض النواتج ويظهر فهم مناسب لدى غالبية المتعلمين.
Outcomes are presented and most learners show appropriate understanding.</t>
  </si>
  <si>
    <t>أشرح النواتج وأناقشها وتبقى حاضرة أثناء التعلم.
Outcomes are explained, discussed, and remain present during learning.</t>
  </si>
  <si>
    <t>يستنتج المتعلمون النواتج ويعبرون عنها بوضوح أثناء الحصة.
Learners infer and express the outcomes clearly during the lesson.</t>
  </si>
  <si>
    <t>نواتج التعلم على السبورة/العرض - أسئلة مناقشة - تصوير لوحات الصف
Outcomes on board/display - Discussion questions - Photos of classroom boards</t>
  </si>
  <si>
    <t>استنتج الطلبة نواتج التعلم وعبّروا عنها بوضوح خلال الحصة.</t>
  </si>
  <si>
    <t>لا يعرف الطلبة ماذا سيتعلمون اليوم.
Students do not know what they will learn today.</t>
  </si>
  <si>
    <t>أكتب الهدف على السبورة فقط دون شرح معناه.
I write the objective on the board only without explaining its meaning.</t>
  </si>
  <si>
    <t>أقرأ النواتج وأوضح المطلوب بلغة مناسبة للطلبة.
I read the outcomes and explain the expected learning in student-friendly language.</t>
  </si>
  <si>
    <t>أعود إلى النواتج أثناء الأنشطة وأسأل: هل حققنا هذا الناتج؟
I revisit the outcomes during activities and ask: Have we achieved this outcome?</t>
  </si>
  <si>
    <t>من خلال النشاط التمهيدي يصوغ الطلبة ما سيتعلمونه ويقيسون تقدمهم نحوه.
Through the starter activity, students formulate what they will learn and measure their progress toward it.</t>
  </si>
  <si>
    <t>الكفاية العلمية وتحقيق التعلم
Subject Competence and Learning Achievement</t>
  </si>
  <si>
    <t>التمكن العلمي في المادة
Subject Knowledge Mastery</t>
  </si>
  <si>
    <t>أحتاج إلى تطوير واضح في المحتوى العلمي المرتبط بالدرس.
Clear development is needed in lesson-related subject content.</t>
  </si>
  <si>
    <t>أمتلك معرفة جزئية بالمحتوى ولا أتعمق فيه بما يكفي.
There is partial knowledge of content without sufficient depth.</t>
  </si>
  <si>
    <t>أمتلك معرفة كافية تمكّنني من شرح المفاهيم بدقة.
Knowledge is sufficient to explain concepts accurately.</t>
  </si>
  <si>
    <t>أمتلك فهما عميقا للمحتوى وأربطه بأمثلة وتطبيقات متنوعة.
There is deep understanding of content linked to varied examples and applications.</t>
  </si>
  <si>
    <t>أمتلك عمقا معرفيا ومهاريا عاليا وأقود المتعلمين إلى فهم متقدم.
There is high knowledge and skill depth leading learners to advanced understanding.</t>
  </si>
  <si>
    <t>محتوى العرض - إجابات المعلم - أعمال الطلبة - نتائج التعلم
Presentation content - Teacher responses - Student work - Learning results</t>
  </si>
  <si>
    <t>أظهرت المعلمة عمقًا معرفيًا ومهاريًا عاليًا وقادت الطلبة إلى فهم متقدم.</t>
  </si>
  <si>
    <t>أتردد عند الإجابة عن أسئلة الطلبة الأساسية.
I hesitate when answering students’ basic questions.</t>
  </si>
  <si>
    <t>أشرح المفهوم بصورة صحيحة لكن بصورة سطحية.
I explain the concept correctly but superficially.</t>
  </si>
  <si>
    <t>أوضح المفهوم بدقة وأجيب عن أغلب الاستفسارات المرتبطة به.
I explain the concept accurately and answer most related questions.</t>
  </si>
  <si>
    <t>أربط الفكرة بأمثلة من الحياة وبمفاهيم سابقة ولاحقة.
I link the idea to real-life examples and previous and future concepts.</t>
  </si>
  <si>
    <t>أوسع التعلم إلى تطبيقات متقدمة واستقصاء ومقارنات تعمق الفهم.
I extend learning to advanced applications, inquiry, and comparisons that deepen understanding.</t>
  </si>
  <si>
    <t>مراعاة التسلسل المنطقي للمعرفة
Considering the Logical Sequence of Knowledge</t>
  </si>
  <si>
    <t>أعرض المحتوى بصورة عشوائية تربك المتعلمين.
Content is presented randomly and confuses learners.</t>
  </si>
  <si>
    <t>أراعي التسلسل أحيانا لكن بصورة غير كافية.
Sequencing is considered sometimes but not sufficiently.</t>
  </si>
  <si>
    <t>أعرض المحتوى بتسلسل منطقي مناسب.
Content is presented in an appropriate logical sequence.</t>
  </si>
  <si>
    <t>أعرض المحتوى بتسلسل يعزز الفهم والاستيعاب.
Content is sequenced to enhance understanding and comprehension.</t>
  </si>
  <si>
    <t>أبني التعلم بتسلسل يقود إلى التحليل والتفكير العالي.
Learning is sequenced to lead to analysis and higher-order thinking.</t>
  </si>
  <si>
    <t>خطة الدرس - تسلسل الشرائح - الأعمال الصفية
Lesson plan - Slide sequence - Classroom work</t>
  </si>
  <si>
    <t>بُني المحتوى بتسلسل منطقي قاد إلى التحليل والتفكير العالي.</t>
  </si>
  <si>
    <t>أنتقل بين الأفكار دون تمهيد أو رابط واضح.
I move between ideas without preparation or a clear link.</t>
  </si>
  <si>
    <t>أقدم بعض الأفكار بترتيب جيد وأخرى دون تمهيد كاف.
I present some ideas in good order and others without sufficient preparation.</t>
  </si>
  <si>
    <t>أبدأ من التمهيد ثم المفهوم ثم التطبيق ثم التقويم.
I start with the introduction, then the concept, then application, then assessment.</t>
  </si>
  <si>
    <t>أنتقل من البسيط إلى المركب مع ربط كل خطوة بالتي قبلها.
I move from simple to complex while linking each step to the previous one.</t>
  </si>
  <si>
    <t>أستخدم التسلسل للوصول إلى الاستنتاج والمقارنة وتكوين الرأي.
I use sequencing to reach inference, comparison, and opinion formation.</t>
  </si>
  <si>
    <t>تحقيق التكامل بين المادة والمواد الأخرى
Integrating the Subject with Other Subjects</t>
  </si>
  <si>
    <t>لا أوظف أي ربط بين المادة وبقية المواد.
No connections are made between this subject and other subjects.</t>
  </si>
  <si>
    <t>أحقق ربطا محدودا بين أجزاء المادة أو مع مواد أخرى.
Limited links are made within the subject or with other subjects.</t>
  </si>
  <si>
    <t>أحقق ترابطا جزئيا داعما للتعلم.
Partial connections support learning.</t>
  </si>
  <si>
    <t>أحقق ترابطا واضحا وكافيا بين المادة والمواد الأخرى.
Clear and sufficient links are made between the subject and other subjects.</t>
  </si>
  <si>
    <t>أمكن المتعلمين من بناء روابط هادفة تعزز الفهم الأكاديمي.
Learners build meaningful links that enhance academic understanding.</t>
  </si>
  <si>
    <t>أنشطة تكاملية - مشاريع بينية - خطط مشتركة
Integrated activities - Cross-curricular projects - Joint plans</t>
  </si>
  <si>
    <t>أُتيحت فرص لبناء روابط معرفية هادفة عززت الفهم الأكاديمي.</t>
  </si>
  <si>
    <t>أقدم المفاهيم بمعزل عن بقية المواد.
I present concepts separately from other subjects.</t>
  </si>
  <si>
    <t>أشير أحيانا إلى فكرة قريبة من مادة أخرى دون توظيف فعلي.
I sometimes refer to an idea from another subject without actual application.</t>
  </si>
  <si>
    <t>أربط مهارة القراءة في الدرس العلمي مثلا بفهم المصطلحات.
I link reading skills in a science lesson, for example, to understanding terminology.</t>
  </si>
  <si>
    <t>أصمم نشاطا يربط الرياضيات بالعلوم أو العربية بالدراسات الاجتماعية.
I design an activity linking mathematics with science or Arabic with social studies.</t>
  </si>
  <si>
    <t>يقارن الطلبة بين مفاهيم من مواد متعددة ويوظفونها في مشروع واحد.
Students compare concepts from multiple subjects and use them in one project.</t>
  </si>
  <si>
    <t>ربط التعلم بالبيئة المحلية والواقع
Linking Learning to the Local Environment and Real Life</t>
  </si>
  <si>
    <t>لا أربط التعلم بالواقع أو البيئة المحلية.
Learning is not linked to real life or the local environment.</t>
  </si>
  <si>
    <t>أقدم ربطا سطحيا أو عاما بالواقع.
A superficial or general link to real life is provided.</t>
  </si>
  <si>
    <t>أربط التعلم بالواقع بصورة محدودة مناسبة.
Learning is linked to real life in a limited but suitable way.</t>
  </si>
  <si>
    <t>أربط التعلم بالواقع والبيئة المحلية بصورة واضحة وكافية.
Learning is clearly and sufficiently linked to real life and the local environment.</t>
  </si>
  <si>
    <t>أجعل التعلم ذا معنى من خلال مشكلات وأمثلة من حياة المتعلمين.
Learning becomes meaningful through problems and examples from learners’ lives.</t>
  </si>
  <si>
    <t>أمثلة واقعية - صور من البيئة - مشاريع حياتية
Real-life examples - Local environment images - Life-related projects</t>
  </si>
  <si>
    <t>جُعل التعلم ذا معنى من خلال ربطه بمشكلات وأمثلة واقعية من حياة الطلبة.</t>
  </si>
  <si>
    <t>أشرح المفهوم نظريا فقط.
I explain the concept theoretically only.</t>
  </si>
  <si>
    <t>أذكر مثالا عاما دون أن ينعكس على النشاط.
I mention a general example without reflecting it in the activity.</t>
  </si>
  <si>
    <t>أستخدم مثالا من البيئة المحلية يوضح الفكرة.
I use an example from the local environment to clarify the idea.</t>
  </si>
  <si>
    <t>أطلب من الطلبة تطبيق المفهوم على موقف يواجهونه في حياتهم.
I ask students to apply the concept to a situation they face in their lives.</t>
  </si>
  <si>
    <t>يصمم الطلبة حلا لمشكلة من واقعهم اعتمادا على ما تعلموه.
Students design a solution to a real-life problem based on what they learned.</t>
  </si>
  <si>
    <t>تقديم الدعم لرفع مستويات التعلم
Providing Support to Raise Learning Levels</t>
  </si>
  <si>
    <t>دعمي محدود ولا يساعد المتعلمين على التحسن.
Support is limited and does not help learners improve.</t>
  </si>
  <si>
    <t>أقدم دعما لبعض المتعلمين فقط.
Support is provided to some learners only.</t>
  </si>
  <si>
    <t>أقدم دعما كافيا لغالبية المتعلمين.
Sufficient support is provided to most learners.</t>
  </si>
  <si>
    <t>أقدم دعما جيدا لمعظم المتعلمين يرفع الأداء والمهارات.
Good support raises the performance and skills of most learners.</t>
  </si>
  <si>
    <t>أقدم دعما فعالا لجميع المتعلمين بحسب احتياجاتهم.
Effective support is provided to all learners according to their needs.</t>
  </si>
  <si>
    <t>خطط علاجية - أنشطة إثرائية - متابعة فردية - سجلات دعم
Remedial plans - Enrichment activities - Individual follow-up - Support records</t>
  </si>
  <si>
    <t>قُدم دعم تعليمي جيد لمعظم الطلبة وأسهم في رفع مستوى أدائهم.</t>
  </si>
  <si>
    <t>أشرح بنفس الطريقة لجميع الطلبة دون متابعة الفروق.
I explain in the same way for all students without following up on differences.</t>
  </si>
  <si>
    <t>أعيد الشرح لطالب أو اثنين فقط عند الحاجة.
I re-explain to one or two students only when needed.</t>
  </si>
  <si>
    <t>أخصص شرحا إضافيا أو ورقة مساعدة للمجموعة المحتاجة.
I provide additional explanation or a support worksheet for the group in need.</t>
  </si>
  <si>
    <t>أوظف مجموعات مرنة وأنشطة متفاوتة المستوى ودعما مباشرا.
I use flexible groups, differentiated activities, and direct support.</t>
  </si>
  <si>
    <t>أطبق خططا فردية وإثرائية وعلاجية واضحة وأتابع أثرها على الجميع.
I apply clear individual, enrichment, and remedial plans and follow up on their impact for all.</t>
  </si>
  <si>
    <t>إظهار المتعلمين استيعابا للمعرفة والمفاهيم
Learners Demonstrating Understanding of Knowledge and Concepts</t>
  </si>
  <si>
    <t>لا يظهر المتعلمون استيعابا للمفاهيم المستهدفة.
Learners do not show understanding of targeted concepts.</t>
  </si>
  <si>
    <t>يظهر عدد قليل من المتعلمين استيعابا للمفاهيم.
A few learners show understanding of concepts.</t>
  </si>
  <si>
    <t>يظهر غالبية المتعلمين استيعابا مناسبا للمفاهيم.
Most learners show appropriate understanding of concepts.</t>
  </si>
  <si>
    <t>يظهر معظم المتعلمين استيعابا واضحا ودقيقا للمفاهيم.
Most learners show clear and accurate understanding of concepts.</t>
  </si>
  <si>
    <t>يظهر جميع المتعلمين استيعابا تاما ويطبقون المعرفة في سياقات مختلفة.
All learners show full understanding and apply knowledge in different contexts.</t>
  </si>
  <si>
    <t>أوراق العمل - إجابات الطلبة - نتائج التقويم - منتجات التعلم
Worksheets - Student responses - Assessment results - Learning products</t>
  </si>
  <si>
    <t>أظهر معظم الطلبة استيعابًا واضحًا ودقيقًا للمفاهيم المستهدفة.</t>
  </si>
  <si>
    <t>لا يستطيع الطلبة تفسير الفكرة بعد الشرح.
Students cannot explain the idea after the explanation.</t>
  </si>
  <si>
    <t>يجيب بعض الطلبة فقط عن أسئلة الفهم الأساسية.
Only some students answer basic comprehension questions.</t>
  </si>
  <si>
    <t>تظهر الإجابات والمهام أن أغلب الطلبة فهموا المفهوم الرئيس.
Responses and tasks show that most students understood the main concept.</t>
  </si>
  <si>
    <t>يشرح معظم الطلبة المفهوم بلغتهم ويطبقونه في نشاط جديد.
Most students explain the concept in their own words and apply it in a new activity.</t>
  </si>
  <si>
    <t>ينقل جميع الطلبة التعلم إلى مواقف جديدة ويبررون إجاباتهم.
All students transfer learning to new situations and justify their answers.</t>
  </si>
  <si>
    <t>طرح أسئلة واضحة ومتنوعة وتعزيز التفكير العالي
Asking Clear and Varied Questions and Promoting Higher-Order Thinking</t>
  </si>
  <si>
    <t>أسئلتي غير واضحة أو محدودة ولا تنمي التفكير.
Questions are unclear or limited and do not develop thinking.</t>
  </si>
  <si>
    <t>أطرح أسئلة واضحة لكن دون تعزيز فعلي للتفكير العالي.
Questions are clear but do not effectively promote higher-order thinking.</t>
  </si>
  <si>
    <t>أطرح أسئلة متنوعة وأعزز التفكير في مواقف محدودة.
Varied questions promote thinking in limited situations.</t>
  </si>
  <si>
    <t>أطرح أسئلة واضحة ومتنوعة وأعزز التفكير العالي في مواقف مختلفة.
Clear and varied questions promote higher-order thinking in different situations.</t>
  </si>
  <si>
    <t>أطرح أسئلة ثرية مستمرة تجعل المتعلمين مندمجين في التفكير العميق طوال الحصة.
Rich ongoing questions keep learners engaged in deep thinking throughout the lesson.</t>
  </si>
  <si>
    <t>سجل أسئلة - فيديو الحصة - ملحوظات صفية
Question log - Lesson video - Classroom notes</t>
  </si>
  <si>
    <t>طُرحت أسئلة واضحة ومتنوعة عززت التفكير العالي في مواقف مختلفة.</t>
  </si>
  <si>
    <t>أكتفي بأسئلة تذكر مباشرة مثل: ما التعريف؟
I limit questions to direct recall, such as: What is the definition?</t>
  </si>
  <si>
    <t>أنوع بين الشفهي والمباشر لكن دون تحليل أو تفسير.
I vary between oral and direct questions but without analysis or explanation.</t>
  </si>
  <si>
    <t>أستخدم أسئلة لماذا وكيف في موضع واحد من الدرس.
I use why and how questions in one part of the lesson.</t>
  </si>
  <si>
    <t>أستخدم أسئلة مقارنة وتبرير واستنتاج أثناء الشرح والتطبيق.
I use comparison, justification, and inference questions during explanation and application.</t>
  </si>
  <si>
    <t>يبني الطلبة إجابات مركبة ويناقشون ويبررون ويطرحون أسئلة مضادة.
Students build complex answers, discuss, justify, and ask counter-questions.</t>
  </si>
  <si>
    <t>استخدام لغة سليمة وواضحة
Using Clear and Accurate Language</t>
  </si>
  <si>
    <t>أستخدم لغة غير دقيقة أو غير مناسبة للموقف الصفي.
Language is inaccurate or unsuitable for the classroom situation.</t>
  </si>
  <si>
    <t>أستخدم لغة سليمة وواضحة أحيانا فقط.
Clear and accurate language is used only sometimes.</t>
  </si>
  <si>
    <t>أستخدم لغة سليمة وواضحة في غالبية الموقف الصفي.
Clear and accurate language is used in most classroom situations.</t>
  </si>
  <si>
    <t>أستخدم لغة سليمة وواضحة في جميع فعاليات الحصة.
Clear and accurate language is used in all lesson activities.</t>
  </si>
  <si>
    <t>أمكن المتعلمين أيضا من التعبير بلغة سليمة وواضحة طوال الحصة.
Learners are also enabled to express themselves clearly and accurately throughout the lesson.</t>
  </si>
  <si>
    <t>تسجيل صوتي/مرئي - ملاحظات إشرافية - أعمال كتابية
Audio/video recording - Supervisory notes - Written work</t>
  </si>
  <si>
    <t>استُخدمت لغة سليمة وواضحة في جميع فعاليات الحصة.</t>
  </si>
  <si>
    <t>تغلب اللغة العامية أو العبارات غير الدقيقة على الشرح.
Colloquial language or inaccurate expressions dominate the explanation.</t>
  </si>
  <si>
    <t>أحافظ على اللغة السليمة في أجزاء من الحصة فقط.
I maintain accurate language in parts of the lesson only.</t>
  </si>
  <si>
    <t>أشرح بلغة سليمة في معظم المواقف مع بعض الهفوات اليسيرة.
I explain using accurate language in most situations with minor slips.</t>
  </si>
  <si>
    <t>أضبط المصطلحات والتعليمات والأسئلة بلغة سليمة واضحة طوال الحصة.
I control terminology, instructions, and questions using clear accurate language throughout the lesson.</t>
  </si>
  <si>
    <t>أدعم المتعلمين ليجيبوا ويتحاوروا ويكتبوا بلغة سليمة مناسبة.
I support learners to answer, discuss, and write using appropriate accurate language.</t>
  </si>
  <si>
    <t>الاستراتيجيات ومصادر التعلم
Strategies and Learning Resources</t>
  </si>
  <si>
    <t>توظيف استراتيجيات وأنشطة تعليمية فاعلة
Employing Effective Teaching Strategies and Activities</t>
  </si>
  <si>
    <t>أستخدم التعليم المباشر معظم الوقت بما يضعف النمو المعرفي والمهاري.
Direct instruction is used most of the time, weakening cognitive and skill development.</t>
  </si>
  <si>
    <t>أنوع الاستراتيجيات لكن أثرها غير كاف على التعلم.
Strategies are varied, but their impact on learning is insufficient.</t>
  </si>
  <si>
    <t>أوظف استراتيجيات مناسبة تشغل غالبية المتعلمين بالتعلم.
Appropriate strategies engage most learners in learning.</t>
  </si>
  <si>
    <t>أوظف استراتيجيات وأنشطة مؤثرة تعزز نمو معظم المتعلمين.
Impactful strategies and activities enhance the growth of most learners.</t>
  </si>
  <si>
    <t>أوظف استراتيجيات وأنشطة فاعلة ومبتكرة تحقق نموا ملحوظا للجميع.
Effective and innovative strategies achieve noticeable growth for all learners.</t>
  </si>
  <si>
    <t>استراتيجيات مكتوبة - صور الأنشطة - منتجات الطلبة
Written strategies - Activity photos - Student products</t>
  </si>
  <si>
    <t>وُظفت استراتيجيات وأنشطة تعليمية مؤثرة دعمت تعلم معظم الطلبة.</t>
  </si>
  <si>
    <t>أشرح طوال الحصة دون نشاط حقيقي للطلبة.
I explain throughout the lesson without real student activity.</t>
  </si>
  <si>
    <t>أستخدم نشاطا جماعيا لكن دون وضوح الهدف أو المنتج.
I use a group activity but without a clear objective or product.</t>
  </si>
  <si>
    <t>أوظف التعلم التعاوني أو التعلم النشط بصورة مناسبة للحصة.
I use cooperative learning or active learning appropriately for the lesson.</t>
  </si>
  <si>
    <t>أستخدم حل المشكلات أو المحطات التعليمية ويظهر أثرها على معظم الطلبة.
I use problem-solving or learning stations, and their impact appears on most students.</t>
  </si>
  <si>
    <t>أبني التعلم على مشروع أو مهمة أدائية أصيلة ترفع مستوى جميع المتعلمين.
I build learning around a project or authentic performance task that raises the level of all learners.</t>
  </si>
  <si>
    <t>توظيف مصادر وموارد تعلم ملائمة
Using Appropriate Learning Sources and Resources</t>
  </si>
  <si>
    <t>أستخدم مصادر غير ملائمة أو غير داعمة للنواتج.
Sources are unsuitable or do not support outcomes.</t>
  </si>
  <si>
    <t>أستخدم مصادر ملائمة لكن بصورة تقليدية محدودة.
Sources are suitable but used in a limited traditional way.</t>
  </si>
  <si>
    <t>أوظف أدوات ووسائط داعمة للتعلم وإشراك غالبية المتعلمين.
Tools and media support learning and engage most learners.</t>
  </si>
  <si>
    <t>أوظف أدوات متنوعة ورقمية تدعم التعلم وتحقق مستوى جيد من التمكين.
Varied and digital tools support learning and achieve good empowerment.</t>
  </si>
  <si>
    <t>أوظف مصادر متنوعة وتفاعلية تشرك جميع المتعلمين بفاعلية عالية.
Varied interactive resources engage all learners with high effectiveness.</t>
  </si>
  <si>
    <t>عروض - منصات تعليمية - أوراق عمل - أدوات رقمية
Presentations - Learning platforms - Worksheets - Digital tools</t>
  </si>
  <si>
    <t>استُخدمت أدوات ووسائط متنوعة ورقمية دعمت التعلم ورفعت مستوى التمكين.</t>
  </si>
  <si>
    <t>أعتمد على الكتاب فقط دون وسيط داعم.
I rely only on the textbook without a supporting medium.</t>
  </si>
  <si>
    <t>أستخدم عرضا بسيطا أو ورقة عمل واحدة فقط.
I use a simple presentation or one worksheet only.</t>
  </si>
  <si>
    <t>أستخدم فيديو أو بطاقة أو أداة تساعد على الفهم والمشاركة.
I use a video, card, or tool that supports understanding and participation.</t>
  </si>
  <si>
    <t>أدمج منصة أو نشاطا رقميا وورقة عمل ووسيطا بصريا في الحصة.
I integrate a platform or digital activity, a worksheet, and a visual medium in the lesson.</t>
  </si>
  <si>
    <t>يوظف الطلبة أدوات رقمية وتفاعلية متعددة لإنتاج تعلمهم وعرضه.
Students use multiple digital and interactive tools to produce and present their learning.</t>
  </si>
  <si>
    <t>مراعاة الفروق الفردية واحتياجات أصحاب الهمم
Considering Individual Differences and the Needs of Students of Determination</t>
  </si>
  <si>
    <t>ممارساتي لا تلبي احتياجات المتعلمين المختلفة.
Practices do not meet learners’ different needs.</t>
  </si>
  <si>
    <t>ألبي احتياجات عدد قليل من المتعلمين بصورة محدودة.
The needs of a few learners are met in a limited way.</t>
  </si>
  <si>
    <t>ألبي احتياجات غالبية المتعلمين بما فيهم أصحاب الهمم.
The needs of most learners are met, including students of determination.</t>
  </si>
  <si>
    <t>أستخدم ممارسات متنوعة تلبي احتياجات معظم المتعلمين.
Varied practices meet the needs of most learners.</t>
  </si>
  <si>
    <t>أستخدم ممارسات متنوعة وفاعلة تلبي احتياجات جميع المتعلمين.
Varied and effective practices meet the needs of all learners.</t>
  </si>
  <si>
    <t>أنشطة متدرجة - خطط فردية - تكييفات - سجلات أصحاب الهمم
Differentiated activities - Individual plans - Accommodations - Students of determination records</t>
  </si>
  <si>
    <t>روعيت الفروق الفردية واحتياجات جميع الطلبة بفاعلية عالية.</t>
  </si>
  <si>
    <t>أقدم المهمة نفسها والدعم نفسه للجميع دون تكييف.
I provide the same task and support to everyone without adaptation.</t>
  </si>
  <si>
    <t>أعدل مهمة واحدة لطالب أو اثنين فقط عند الحاجة.
I modify one task for one or two students only when needed.</t>
  </si>
  <si>
    <t>أوفر مستويات مختلفة للنشاط أو تعليمات مبسطة عند الحاجة.
I provide different activity levels or simplified instructions when needed.</t>
  </si>
  <si>
    <t>أنوع بين مجموعات مرنة وخيارات تعلم ووسائل مساندة.
I vary flexible groups, learning choices, and support tools.</t>
  </si>
  <si>
    <t>أصمم تكييفات واضحة ومتابعة دقيقة لكل فئة بما يضمن مشاركتهم جميعا.
I design clear accommodations and accurate follow-up for each group to ensure everyone participates.</t>
  </si>
  <si>
    <t>الإدارة والتفاعل الصفي
Classroom Management and Interaction</t>
  </si>
  <si>
    <t>متابعة امتثال المتعلمين للأنظمة واللوائح
Monitoring Learners’ Compliance with Rules and Regulations</t>
  </si>
  <si>
    <t>أبدأ الحصة دون متابعة الحضور أو الانضباط.
The lesson starts without checking attendance or discipline.</t>
  </si>
  <si>
    <t>أتابع الحضور فقط أو بشكل محدود.
Attendance is checked only or in a limited way.</t>
  </si>
  <si>
    <t>أتابع الحضور والانضباط وأحث على السلوك الإيجابي.
Attendance and discipline are monitored and positive behavior is encouraged.</t>
  </si>
  <si>
    <t>يمتثل المتعلمون للأنظمة واللوائح بصورة واضحة أثناء الحصة.
Learners clearly comply with rules and regulations during the lesson.</t>
  </si>
  <si>
    <t>يعكس انضباط المتعلمين الذاتي قوة العلاقة والاتساق في إدارة الصف.
Learners’ self-discipline reflects strong relationships and consistency in classroom management.</t>
  </si>
  <si>
    <t>سجل حضور - قواعد صفية - ملاحظات زيارة
Attendance record - Classroom rules - Visit notes</t>
  </si>
  <si>
    <t>عكس انضباط الطلبة الذاتي قوة العلاقة الصفية وجودة إدارة الصف.</t>
  </si>
  <si>
    <t>أبدأ مباشرة مع وجود فوضى أو تأخر دون معالجة.
I start directly while there is disorder or lateness without addressing it.</t>
  </si>
  <si>
    <t>أسجل الحضور لكن لا أتابع السلوك داخل الأنشطة.
I record attendance but do not follow up on behavior during activities.</t>
  </si>
  <si>
    <t>أذكر التوقعات وأتابع الالتزام بها أثناء الحصة.
I state expectations and monitor commitment to them during the lesson.</t>
  </si>
  <si>
    <t>تسير الأنشطة بانضباط واضح والطلبة يعرفون التوقعات ويلتزمون بها.
Activities run with clear discipline, and students know and follow expectations.</t>
  </si>
  <si>
    <t>ينتقل الطلبة بين الأنشطة بسلاسة ويلتزمون ذاتيا دون تدخل كبير.
Students move smoothly between activities and self-regulate with little intervention.</t>
  </si>
  <si>
    <t>تشجيع المشاركة ورفع الدافعية نحو التعلم
Encouraging Participation and Raising Motivation Toward Learning</t>
  </si>
  <si>
    <t>لا أوظف أساليب تعزيز وتحفيز فعالة.
Effective reinforcement and motivation methods are not used.</t>
  </si>
  <si>
    <t>أوظف التحفيز بشكل محدود ويظهر أثره على عدد قليل.
Motivation is used in a limited way and affects only a few learners.</t>
  </si>
  <si>
    <t>أوظف أساليب متنوعة ويظهر دافع مناسب لدى غالبية المتعلمين.
Varied methods show appropriate motivation among most learners.</t>
  </si>
  <si>
    <t>أوظف أساليب متنوعة وفعالة ويظهر دافع عال لدى معظم المتعلمين.
Varied and effective methods show high motivation among most learners.</t>
  </si>
  <si>
    <t>أوظف أساليب محفزة عالية التأثير ويظهر حماس ودافعية لدى جميع المتعلمين.
High-impact motivational methods show enthusiasm and motivation among all learners.</t>
  </si>
  <si>
    <t>بطاقات/نقاط تحفيز - صور مشاركة - ملاحظات صفية
Motivation cards/points - Participation photos - Classroom notes</t>
  </si>
  <si>
    <t>وُظفت أساليب تحفيزية فعالة أظهرت دافعية مرتفعة لدى معظم الطلبة.</t>
  </si>
  <si>
    <t>لا أشجع المشاركة أو أعتمد على المتطوعين أنفسهم فقط.
I do not encourage participation or rely only on the same volunteers.</t>
  </si>
  <si>
    <t>أستخدم تشجيعا لفظيا محدودا لا يغير مستوى التفاعل كثيرا.
I use limited verbal encouragement that does not greatly change interaction.</t>
  </si>
  <si>
    <t>أستخدم نقاطا أو تعزيزا لفظيا وأنشطة تشاركية تزيد مشاركة الأغلبية.
I use points or verbal reinforcement and participatory activities that increase majority participation.</t>
  </si>
  <si>
    <t>أخلق منافسة إيجابية ومهاما ممتعة تجعل معظم الطلبة متحمسين.
I create positive competition and enjoyable tasks that make most students enthusiastic.</t>
  </si>
  <si>
    <t>يتسابق جميع الطلبة للمشاركة ويظهرون حماسا واضحا طوال الحصة.
All students compete to participate and show clear enthusiasm throughout the lesson.</t>
  </si>
  <si>
    <t>إدارة الوقت وتوزيعه على فعاليات التعلم
Managing and Distributing Time Across Learning Activities</t>
  </si>
  <si>
    <t>إدارة الوقت غير منضبطة وتؤثر سلبا على تحقيق النواتج.
Time management is uncontrolled and negatively affects outcome achievement.</t>
  </si>
  <si>
    <t>إدارة الوقت محدودة وتمكن من تحقيق بعض النواتج فقط.
Time management is limited and enables only some outcomes.</t>
  </si>
  <si>
    <t>تضبط بعض فعاليات التعلم زمنيا وتتحقق غالبية النواتج.
Some learning activities are timed and most outcomes are achieved.</t>
  </si>
  <si>
    <t>تضبط فعاليات التعلم زمنيا وتتحقق جميع النواتج المخطط لها.
Learning activities are timed and all planned outcomes are achieved.</t>
  </si>
  <si>
    <t>تدار الحصة بدقة زمنية عالية وتغلق في الوقت المحدد مع تحقق جميع النواتج.
The lesson is managed with high timing precision and ends on time with all outcomes achieved.</t>
  </si>
  <si>
    <t>توزيع زمني - ملاحظة الحصة - تحقق النواتج
Time allocation - Lesson observation - Outcome achievement</t>
  </si>
  <si>
    <t>أُديرت الحصة بدقة زمنية عالية وتحققت جميع نواتج التعلم.</t>
  </si>
  <si>
    <t>ينتهي الوقت قبل التطبيق أو التقويم الختامي.
Time ends before application or the final assessment.</t>
  </si>
  <si>
    <t>يستهلك التمهيد أو الشرح وقتا أطول من اللازم.
The introduction or explanation takes longer than necessary.</t>
  </si>
  <si>
    <t>أنجز معظم مراحل الحصة في وقتها مع بعض التفاوت البسيط.
I complete most lesson stages on time with minor variation.</t>
  </si>
  <si>
    <t>يتوزع الوقت بوضوح بين التمهيد والتعلم والتطبيق والتقويم.
Time is clearly distributed among introduction, learning, application, and assessment.</t>
  </si>
  <si>
    <t>تسير الحصة بسلاسة بمؤقت واضح وإنهاء منظم وتأمل ختامي في الوقت المحدد.
The lesson proceeds smoothly with a clear timer, organized closure, and final reflection on time.</t>
  </si>
  <si>
    <t>التقويم
Assessment</t>
  </si>
  <si>
    <t>استمرارية التقويم بأنواعه المختلفة
Continuity of Different Types of Assessment</t>
  </si>
  <si>
    <t>أطبق نوعا واحدا من التقويم دون استمرارية.
One assessment type is applied without continuity.</t>
  </si>
  <si>
    <t>أطبق نوعين من التقويم لكن دون استمرارية كافية.
Two assessment types are applied without sufficient continuity.</t>
  </si>
  <si>
    <t>أطبق التقويم القبلي والمرحلي والختامي بصورة مناسبة لغالبية المتعلمين.
Pre-, formative, and summative assessment are applied appropriately for most learners.</t>
  </si>
  <si>
    <t>أطبق جميع أنواع التقويم باستمرار ودقة لمعظم المتعلمين.
All assessment types are applied continuously and accurately for most learners.</t>
  </si>
  <si>
    <t>أطبق جميع أنواع التقويم باستمرار عالية ودقة لجميع المتعلمين.
All assessment types are applied with high continuity and accuracy for all learners.</t>
  </si>
  <si>
    <t>تقويم قبلي - أسئلة مرحلية - Exit ticket - اختبارات قصيرة
Pre-assessment - Formative questions - Exit ticket - Short quizzes</t>
  </si>
  <si>
    <t>طُبقت أنواع التقويم المختلفة باستمرارية ودقة مناسبة لمعظم الطلبة.</t>
  </si>
  <si>
    <t>أكتفي باختبار أو سؤال ختامي فقط.
I rely only on a test or final question.</t>
  </si>
  <si>
    <t>أبدأ بسؤال قبلي وأنهي بتقويم ختامي دون متابعة أثناء الحصة.
I start with a pre-question and end with final assessment without follow-up during the lesson.</t>
  </si>
  <si>
    <t>أستخدم مدخلا قبليا وأسئلة مرحلية وتقويما ختاميا بسيطا.
I use a pre-entry, formative questions, and a simple final assessment.</t>
  </si>
  <si>
    <t>أجمع أدلة تعلم أثناء الحصة وأعدل التدريس بناء عليها.
I collect learning evidence during the lesson and adjust teaching accordingly.</t>
  </si>
  <si>
    <t>أتابع تقدم كل متعلم لحظيا وأغير المسار التعليمي بما يضمن تحقق النواتج للجميع.
I monitor each learner’s progress in real time and adjust teaching to ensure outcomes are achieved for all.</t>
  </si>
  <si>
    <t>توظيف أساليب وأدوات فاعلة لقياس التقدم الأكاديمي
Using Effective Methods and Tools to Measure Academic Progress</t>
  </si>
  <si>
    <t>الأدوات التي أستخدمها محدودة ولا تقيس التقدم بدقة.
The tools used are limited and do not measure progress accurately.</t>
  </si>
  <si>
    <t>الأدوات جيدة لكنها تقيس عددا قليلا من المتعلمين أو الجوانب.
The tools are good but measure only a few learners or aspects.</t>
  </si>
  <si>
    <t>أوظف أدوات متنوعة مناسبة لقياس تقدم غالبية المتعلمين.
Varied appropriate tools measure the progress of most learners.</t>
  </si>
  <si>
    <t>أوظف أدوات متميزة ومتنوعة تقيس تقدم معظم المتعلمين بدقة.
Distinguished and varied tools accurately measure the progress of most learners.</t>
  </si>
  <si>
    <t>أوظف أدوات متميزة وشاملة تقيس تقدم جميع المتعلمين بوضوح.
Distinguished and comprehensive tools clearly measure the progress of all learners.</t>
  </si>
  <si>
    <t>Rubrics - Quizzes - بطاقات ملاحظة - منتجات تعلم
Rubrics - Quizzes - Observation cards - Learning products</t>
  </si>
  <si>
    <t>استُخدمت أدوات تقويم متميزة ومتنوعة قاست تقدم معظم الطلبة بدقة.</t>
  </si>
  <si>
    <t>أعتمد على سؤال شفهي عام أو ورقة واحدة فقط.
I rely on a general oral question or only one worksheet.</t>
  </si>
  <si>
    <t>أستخدم أداة مناسبة لكن على عينة محدودة من الطلبة.
I use a suitable tool but on a limited sample of students.</t>
  </si>
  <si>
    <t>أستخدم rubrics أو بطاقات ملاحظة أو اختبارات قصيرة مناسبة للحصة.
I use rubrics, observation cards, or short quizzes suitable for the lesson.</t>
  </si>
  <si>
    <t>أجمع بين قوائم رصد وأسئلة رقمية ومنتجات تعلم لقياس التقدم.
I combine checklists, digital questions, and learning products to measure progress.</t>
  </si>
  <si>
    <t>أبني نظاما واضحا يجمع أدلة متعددة لكل متعلم ويظهر تقدمه بدقة.
I build a clear system that collects multiple evidence for each learner and accurately shows progress.</t>
  </si>
  <si>
    <t>تقديم التغذية الراجعة الموجهة
Providing Targeted Feedback</t>
  </si>
  <si>
    <t>لا أقدم تغذية راجعة مناسبة للموقف التعليمي.
Feedback appropriate to the learning situation is not provided.</t>
  </si>
  <si>
    <t>أقدم تغذية راجعة محدودة لا تساعد إلا قليلا.
Feedback is limited and helps only slightly.</t>
  </si>
  <si>
    <t>أقدم تغذية راجعة موجهة تحسن أداء غالبية المتعلمين.
Targeted feedback improves the performance of most learners.</t>
  </si>
  <si>
    <t>أقدم تغذية راجعة فعالة لمعظم المتعلمين وتتيح فرصا للتصحيح والتحسين.
Effective feedback supports most learners and provides chances for correction and improvement.</t>
  </si>
  <si>
    <t>أقدم تغذية راجعة عالية الأثر تنعكس بوضوح على أعمال جميع المتعلمين.
High-impact feedback is clearly reflected in all learners’ work.</t>
  </si>
  <si>
    <t>أعمال مصححة - تعليقات كتابية/شفهية - قبل/بعد التحسين
Corrected work - Written/oral comments - Before/after improvement</t>
  </si>
  <si>
    <t>قُدمت تغذية راجعة عالية الأثر انعكست بوضوح على تحسين أداء الطلبة.</t>
  </si>
  <si>
    <t>أصحح بالإشارة إلى الخطأ فقط دون توضيح.
I correct by pointing to the error only without explanation.</t>
  </si>
  <si>
    <t>أعطي ملاحظة عامة مثل: انتبه أكثر، دون تحديد ما المطلوب.
I give a general comment such as “Pay more attention” without specifying what is required.</t>
  </si>
  <si>
    <t>أوضح موضع الخطأ وكيف يمكن تحسينه في المهمة الحالية.
I explain where the error is and how it can be improved in the current task.</t>
  </si>
  <si>
    <t>أمنح الطالب فرصة لإعادة المحاولة بعد الملاحظة وأتابع التحسن.
I give the student a chance to retry after feedback and follow up on improvement.</t>
  </si>
  <si>
    <t>يستخدم الطلبة التغذية الراجعة مباشرة لتحسين المنتج وتظهر قفزة واضحة في الأداء.
Students use feedback immediately to improve the product, and a clear performance leap appears.</t>
  </si>
  <si>
    <t>إتاحة الفرصة للتقييم الذاتي وتقييم الأقران
Providing Opportunities for Self-Assessment and Peer Assessment</t>
  </si>
  <si>
    <t>لا أتيح للمتعلمين فرصا للتقييم الذاتي.
Learners are not given opportunities for self-assessment.</t>
  </si>
  <si>
    <t>أتيح الفرصة لعدد محدود من المتعلمين فقط.
The opportunity is provided to a limited number of learners only.</t>
  </si>
  <si>
    <t>أتيح فرصا متنوعة لغالبية المتعلمين لقياس مدى تحقق النواتج.
Varied opportunities are provided for most learners to measure outcome achievement.</t>
  </si>
  <si>
    <t>أتيح فرصا متنوعة لمعظم المتعلمين للتقييم الذاتي وتقييم بعضهم بعضا.
Varied opportunities are provided for most learners for self- and peer assessment.</t>
  </si>
  <si>
    <t>أجعل التقييم الذاتي وتقييم الأقران ممارسة ثابتة وفاعلة لجميع المتعلمين.
Self- and peer assessment become consistent and effective practices for all learners.</t>
  </si>
  <si>
    <t>بطاقات تقييم ذاتي - Peer assessment - قوائم تحقق
Self-assessment cards - Peer assessment - Checklists</t>
  </si>
  <si>
    <t>جُعل التقييم الذاتي وتقييم الأقران ممارسة فاعلة لمعظم الطلبة.</t>
  </si>
  <si>
    <t>أكتفي أنا بالحكم على التعلم دون إشراك الطلبة.
I judge learning myself without involving students.</t>
  </si>
  <si>
    <t>أطلب من طالب أو مجموعة قليلة مراجعة أدائهم سريعا.
I ask one student or a small group to review their performance quickly.</t>
  </si>
  <si>
    <t>أستخدم بطاقة بسيطة أو إشارة مرورية ليقيس أغلب الطلبة تعلمهم.
I use a simple card or traffic-light strategy so most students can measure their learning.</t>
  </si>
  <si>
    <t>يوظف الطلبة قائمة تحقق ويقدمون تغذية راجعة لأقرانهم بصورة منظمة.
Students use a checklist and provide feedback to peers in an organized way.</t>
  </si>
  <si>
    <t>يمتلك جميع الطلبة أدوات واضحة للتقييم الذاتي وتقييم الأقران ويستخدمونها بفاعلية.
All students have clear tools for self- and peer assessment and use them effectively.</t>
  </si>
  <si>
    <t>جودة حياة المتعلمين
Learners’ Wellbeing</t>
  </si>
  <si>
    <t>تهيئة بيئة مادية ونفسية ملائمة للتعلم
Preparing a Suitable Physical and Psychological Learning Environment</t>
  </si>
  <si>
    <t>أبدأ الحصة دون تهيئة البيئة المادية أو النفسية.
The lesson starts without preparing the physical or psychological environment.</t>
  </si>
  <si>
    <t>أهيئ البيئة بشكل جزئي فقط.
The environment is prepared only partially.</t>
  </si>
  <si>
    <t>أتحقق من تهيئة مكونات البيئة المادية والنفسية المناسبة للتعلم.
The appropriate physical and psychological components are checked.</t>
  </si>
  <si>
    <t>أهيئ البيئة بصورة جيدة ويظهر استعداد معظم المتعلمين للتعلم.
The environment is well prepared and most learners show readiness to learn.</t>
  </si>
  <si>
    <t>أهيئ البيئة بصورة عالية الجودة ويظهر استعداد جميع المتعلمين للتعلم.
The environment is prepared with high quality and all learners show readiness to learn.</t>
  </si>
  <si>
    <t>صور الصف - ترتيب البيئة - قواعد صفية - جاهزية الأدوات
Classroom photos - Environment arrangement - Classroom rules - Tool readiness</t>
  </si>
  <si>
    <t>تهيأت البيئة المادية والنفسية بجودة عالية وأسهمت في جاهزية الطلبة للتعلم.</t>
  </si>
  <si>
    <t>الصف غير مهيأ والأدوات غير جاهزة والطلبة غير مستقرين.
The classroom is not prepared, tools are not ready, and students are not settled.</t>
  </si>
  <si>
    <t>تتوفر بعض عناصر البيئة المناسبة لكن ليست كلها.
Some suitable environmental elements are available, but not all.</t>
  </si>
  <si>
    <t>أجهز المقاعد والمواد والقواعد النفسية الداعمة قبل البدء.
I prepare seating, materials, and supportive psychological rules before starting.</t>
  </si>
  <si>
    <t>تبدو البيئة منظمة وآمنة ومحفزة ويبدأ معظم الطلبة بسرعة.
The environment appears organized, safe, and motivating, and most students start quickly.</t>
  </si>
  <si>
    <t>تجمع البيئة بين التنظيم والأمان والتحفيز والانتماء ويبدأ الجميع باستعداد واضح.
The environment combines organization, safety, motivation, and belonging, and everyone starts with clear readiness.</t>
  </si>
  <si>
    <t>تعزيز الاتصال والتواصل مع المتعلمين
Enhancing Communication and Interaction with Learners</t>
  </si>
  <si>
    <t>العلاقة مع المتعلمين غير فاعلة وتؤثر سلبا على السلوك.
The relationship with learners is ineffective and negatively affects behavior.</t>
  </si>
  <si>
    <t>توجد علاقة جيدة لكن أثرها محدود على عدد قليل من المتعلمين.
There is a good relationship, but its impact is limited to a few learners.</t>
  </si>
  <si>
    <t>أقيم علاقات فاعلة تؤثر إيجابا على سلوك غالبية المتعلمين.
Effective relationships positively influence the behavior of most learners.</t>
  </si>
  <si>
    <t>تسود علاقات احترام وتواصل بناء تنعكس إيجابا على معظم المتعلمين.
Respectful relationships and constructive communication positively affect most learners.</t>
  </si>
  <si>
    <t>أحافظ على علاقات احترام وثقة وتواصل بناء ينعكس إيجابا على جميع المتعلمين ورفاهيتهم.
Respect, trust, and constructive communication positively affect all learners and their wellbeing.</t>
  </si>
  <si>
    <t>استبانات طلبة - ملاحظات صفية - شواهد تواصل
Student surveys - Classroom notes - Communication evidence</t>
  </si>
  <si>
    <t>سادت علاقات احترام وثقة وتواصل بنّاء انعكست إيجابًا على رفاهية الطلبة.</t>
  </si>
  <si>
    <t>يغلب الطابع الرسمي أو التوتر على التفاعل الصفي.
The classroom interaction is dominated by formality or tension.</t>
  </si>
  <si>
    <t>أتواصل بود مع بعض الطلبة فقط أو في مواقف محدودة.
I communicate warmly with some students only or in limited situations.</t>
  </si>
  <si>
    <t>أستمع للطلبة وأحترم آراءهم وأدعمهم بصورة منتظمة.
I listen to students, respect their opinions, and support them regularly.</t>
  </si>
  <si>
    <t>يسود الحوار والاحترام والثقة في أغلب الموقف الصفي.
Dialogue, respect, and trust prevail in most classroom situations.</t>
  </si>
  <si>
    <t>يشعر جميع الطلبة بالأمان والتقدير ويطلبون الدعم بثقة ويشاركون بارتياح.
All students feel safe and valued, ask for support confidently, and participate comfortably.</t>
  </si>
  <si>
    <t>تحفيز ومكافأة التقدم الأكاديمي والسلوك الإيجابي
Motivating and Rewarding Academic Progress and Positive Behavior</t>
  </si>
  <si>
    <t>لا أوظف أساليب لتعزيز التقدم الأكاديمي أو السلوك الإيجابي.
Methods to reinforce academic progress or positive behavior are not used.</t>
  </si>
  <si>
    <t>أستخدم أساليب محدودة دون أثر واضح.
Limited methods are used without clear impact.</t>
  </si>
  <si>
    <t>أوظف أساليب متنوعة يظهر أثرها على غالبية المتعلمين.
Varied methods show impact on most learners.</t>
  </si>
  <si>
    <t>أوظف أساليب تحفيز وتعزيز فعالة يظهر أثرها على معظم المتعلمين.
Effective motivation and reinforcement methods show impact on most learners.</t>
  </si>
  <si>
    <t>أوظف أساليب عالية التأثير تعزز الدافعية والمسؤولية والتنافس الإيجابي لدى الجميع.
High-impact methods enhance motivation, responsibility, and positive competition among all.</t>
  </si>
  <si>
    <t>سجلات تحفيز - شهادات - صور تكريم - ملاحظات
Motivation records - Certificates - Recognition photos - Notes</t>
  </si>
  <si>
    <t>وُظفت أساليب تحفيز وتعزيز عالية التأثير دعمت الدافعية والمسؤولية والتنافس الإيجابي.</t>
  </si>
  <si>
    <t>لا توجد عبارات أو أنظمة واضحة للتقدير والتعزيز.
There are no clear appreciation or reinforcement phrases or systems.</t>
  </si>
  <si>
    <t>أشجع أحيانا لكن دون اتساق أو متابعة الأثر.
I encourage sometimes but without consistency or follow-up on impact.</t>
  </si>
  <si>
    <t>أستخدم شهادات أو نقاطا أو تعزيزات لفظية منتظمة تزيد الانضباط والمشاركة.
I use certificates, points, or regular verbal reinforcement that increases discipline and participation.</t>
  </si>
  <si>
    <t>أربط التعزيز بالتقدم الحقيقي والسلوك الإيجابي ويظهر الأثر على معظم الطلبة.
I link reinforcement to real progress and positive behavior, and the impact appears on most students.</t>
  </si>
  <si>
    <t>يتحول التعزيز إلى ثقافة صفية ترفع الإنجاز والمسؤولية والتنافس الإيجابي بين الجميع.
Reinforcement becomes a classroom culture that raises achievement, responsibility, and positive competition among all.</t>
  </si>
  <si>
    <t>تحليل نتائج استمارة تقييم الزيارات الصفية Analysis of Classroom Visit Evaluation Results
مدرسة عبدالله بن ناصر الحلقة الثانية بنين Abdullah Bin Nasser Cycle 2 Boys School
معلم Teacher</t>
  </si>
  <si>
    <t>الصف والشعبة
Grade / Section</t>
  </si>
  <si>
    <t>المؤشر العام
Overall Indicator</t>
  </si>
  <si>
    <t>القيمة</t>
  </si>
  <si>
    <t>متوسط المجال
Domain Average</t>
  </si>
  <si>
    <t>قراءة سريعة
Quick Reading</t>
  </si>
  <si>
    <t>متوسط الأداء العام
Overall Performance Average</t>
  </si>
  <si>
    <t>التخطيط والتهيئة الحافزة
Planning and Motivational Introduction</t>
  </si>
  <si>
    <t>عدد المؤشرات ذات الأولوية (&lt;=3)
Number of Priority Indicators (&lt;=3)</t>
  </si>
  <si>
    <t>نسبة المؤشرات 4-5
Percentage of Indicators Rated 4–5</t>
  </si>
  <si>
    <t>نقاط القوة
Strengths</t>
  </si>
  <si>
    <t>تخطيط جاذب ومنظم للحصة أسهم في تحقيق تعلم متكامل وفعّال.
تهيئة مشوقة ومحفزة ساعدت على جذب انتباه الطلبة وبناء دافعية عالية للتعلم.
إشراك الطلبة بفاعلية في استنتاج نواتج التعلم والتعبير عنها بوضوح.
تمكّن علمي ومهاري عالٍ انعكس في قيادتكم للطلبة نحو فهم متقدم.
عرض المحتوى بتسلسل منطقي عزز التحليل والتفكير العالي.
ربط التعلم بالحياة الواقعية بصورة داعمة للمعنى والتطبيق.
توظيف استراتيجيات وأنشطة تعليمية مؤثرة، مدعومة بأدوات ووسائط رقمية متنوعة.
مراعاة الفروق الفردية بفاعلية، بما يضمن مشاركة جميع الطلبة.
إدارة صفية متميزة قائمة على علاقات احترام وثقة وانضباط ذاتي.
إدارة زمنية دقيقة أسهمت في تحقيق جميع نواتج التعلم.
تطبيق تقويم متكامل مع تغذية راجعة عالية الأثر انعكست على أداء الطلبة.
استخدام أساليب تحفيزية عالية التأثير عززت الدافعية والتنافس الإيجابي.</t>
  </si>
  <si>
    <t>التوصيات
Recommendations</t>
  </si>
  <si>
    <t>الاستمرار في توثيق الممارسات التعليمية المتميزة كمرجع مهني على مستوى القسم.
تعزيز نشر وتبادل الخبرات مع الزملاء لدعم جودة الممارسات التعليمية على مستوى المدرسة.
الاستمرار في تطوير الابتكار في الأنشطة والتقويم لضمان استدامة التميز والتقدم.
المشاركة في الجوائز التربوية.</t>
  </si>
  <si>
    <t>خطة الدعم والتطوير Support and Development Plan
مدرسة عبدالله بن ناصر الحلقة الثانية بنين Abdullah Bin Nasser Cycle 2 Boys School
معلم Teacher</t>
  </si>
  <si>
    <t>الأولوية
Priority</t>
  </si>
  <si>
    <t>الدرجة
Score</t>
  </si>
  <si>
    <t>التوصية الفورية
Immediate Recommendation</t>
  </si>
  <si>
    <t>إجراء تنفيذي
Action Step</t>
  </si>
  <si>
    <t>المدة
Duration</t>
  </si>
  <si>
    <t>مؤشر النجاح
Success Indicator</t>
  </si>
  <si>
    <t>أولوية 1
Priority 1</t>
  </si>
  <si>
    <t>أولوية 2
Priority 2</t>
  </si>
  <si>
    <t>أولوية 3
Priority 3</t>
  </si>
  <si>
    <t>أولوية 4
Priority 4</t>
  </si>
  <si>
    <t>أولوية 5
Priority 5</t>
  </si>
  <si>
    <t>أولوية 6
Priority 6</t>
  </si>
  <si>
    <t>أولوية 7
Priority 7</t>
  </si>
  <si>
    <t>أولوية 8
Priority 8</t>
  </si>
  <si>
    <t>أولوية 9
Priority 9</t>
  </si>
  <si>
    <t>أولوية 10
Priority 10</t>
  </si>
  <si>
    <t>أولوية 11
Priority 11</t>
  </si>
  <si>
    <t>أولوية 12
Priority 12</t>
  </si>
  <si>
    <t>أولوية 13
Priority 13</t>
  </si>
  <si>
    <t>أولوية 14
Priority 14</t>
  </si>
  <si>
    <t>أولوية 15
Priority 15</t>
  </si>
  <si>
    <t>أولوية 16
Priority 16</t>
  </si>
  <si>
    <t>أولوية 17
Priority 17</t>
  </si>
  <si>
    <t>أولوية 18
Priority 18</t>
  </si>
  <si>
    <t>أولوية 19
Priority 19</t>
  </si>
  <si>
    <t>أولوية 20
Priority 20</t>
  </si>
  <si>
    <t>أولوية 21
Priority 21</t>
  </si>
  <si>
    <t>أولوية 22
Priority 22</t>
  </si>
  <si>
    <t>أولوية 23
Priority 23</t>
  </si>
  <si>
    <t>أولوية 24
Priority 24</t>
  </si>
  <si>
    <t>مفتاح الربط بالتفتيش
Inspection Alignment Key</t>
  </si>
  <si>
    <t>3.5 إلى 4.2 = جيد
3.5 to 4.2 = Good</t>
  </si>
  <si>
    <t>4.3 إلى 5.0 = جيد جدا
4.3 to 5.0 = Very Good</t>
  </si>
  <si>
    <t>التوصية
Recommendation</t>
  </si>
  <si>
    <t>الإجراء
Action</t>
  </si>
  <si>
    <t>راجع الخطة بحيث ترتبط كل خطوة بناتج تعلم واضح وزمن محدد.
Review the plan so each step links to a clear learning outcome and set time.</t>
  </si>
  <si>
    <t>إعادة كتابة 3 خطط دراسية وفق نموذج موحد ثم مراجعتها مع المشرف.
Rewrite three lesson plans using a unified template, then review them with the supervisor.</t>
  </si>
  <si>
    <t>تقديم تهيئة حافزة
Providing a Motivating Starter</t>
  </si>
  <si>
    <t>ابدأ الحصة بمدخل قصير مشوق مرتبط بالدرس مثل صورة أو سؤال أو موقف واقعي.
Start with a short engaging entry linked to the lesson, such as an image, question, or real situation.</t>
  </si>
  <si>
    <t>تصميم 5 مداخل حافزة وتطبيق واحد منها في كل حصة خلال أسبوعين.
Design five motivating starters and apply one in each lesson within two weeks.</t>
  </si>
  <si>
    <t>عرض نواتج التعلم وبناء الوعي بها
Presenting Learning Outcomes and Building Awareness</t>
  </si>
  <si>
    <t>اعرض النواتج بلغة مبسطة وارجع إليها أثناء الحصة وفي الإغلاق.
Present outcomes in simple language and refer to them during the lesson and closure.</t>
  </si>
  <si>
    <t>عرض الناتج على السبورة وقياس فهمه في بداية ووسط ونهاية الحصة.
Display the outcome on the board and check understanding at the beginning, middle, and end.</t>
  </si>
  <si>
    <t>التمكن العلمي في المادة
Subject-Matter Mastery</t>
  </si>
  <si>
    <t>وسع تحضيرك العلمي بالمراجع والأمثلة والتطبيقات قبل الحصة.
Expand subject preparation with references, examples, and applications before the lesson.</t>
  </si>
  <si>
    <t>تحضير ملف محتوى مختصر وأسئلة متوقعة قبل كل درس.
Prepare a brief content file and expected questions before each lesson.</t>
  </si>
  <si>
    <t>مراعاة التسلسل المنطقي للمعرفة
Maintaining Logical Knowledge Sequencing</t>
  </si>
  <si>
    <t>أعد تنظيم الحصة من السهل إلى المركب مع روابط واضحة بين الخطوات.
Reorganize the lesson from simple to complex with clear links between steps.</t>
  </si>
  <si>
    <t>استخدام مخطط تسلسل للدرس قبل التنفيذ.
Use a lesson sequence map before implementation.</t>
  </si>
  <si>
    <t>صمم نشاطا يربط المهارة الحالية بموضوع من مادة أخرى.
Design an activity linking the current skill to another subject.</t>
  </si>
  <si>
    <t>تنفيذ نشاط تكاملي واحد مع مادة أخرى هذا الشهر.
Implement one integrated activity with another subject this month.</t>
  </si>
  <si>
    <t>ربط التعلم بالبيئة المحلية والواقع
Connecting Learning to Local Context and Real Life</t>
  </si>
  <si>
    <t>استخدم مواقف من المجتمع المحلي أو حياة الطلبة لتطبيق المفهوم.
Use situations from the local community or learners’ lives to apply the concept.</t>
  </si>
  <si>
    <t>إضافة مثال محلي أو تطبيقي في كل درس.
Add a local or applied example in every lesson.</t>
  </si>
  <si>
    <t>خطط لدعم علاجي وإثرائي ومجموعات مرنة بحسب الحاجة.
Plan remedial and enrichment support and flexible groups as needed.</t>
  </si>
  <si>
    <t>إعداد قائمة طلبة ودعم علاجي/إثرائي أسبوعي.
Prepare a student list and weekly remedial/enrichment support.</t>
  </si>
  <si>
    <t>زد فرص التطبيق العملي والتفسير الشفهي والكتابي أثناء الحصة.
Increase opportunities for practical application and oral/written explanation during the lesson.</t>
  </si>
  <si>
    <t>إدراج نشاط تطبيق أو تفسير بعد كل مفهوم رئيس.
Include an application or explanation activity after each key concept.</t>
  </si>
  <si>
    <t>طرح أسئلة واضحة ومتنوعة وتعزيز التفكير العالي
Asking Clear, Varied Questions and Promoting Higher-Order Thinking</t>
  </si>
  <si>
    <t>جهز مسبقا أسئلة لماذا وكيف وقارن وفسر وعلل.
Prepare “why, how, compare, explain, justify” questions in advance.</t>
  </si>
  <si>
    <t>إعداد 5 أسئلة تفكير عليا لكل حصة.
Prepare five higher-order thinking questions for each lesson.</t>
  </si>
  <si>
    <t>استخدام لغة سليمة وواضحة
Using Accurate and Clear Language</t>
  </si>
  <si>
    <t>راجع تعليماتك وأسئلتك ومصطلحاتك لضبطها لغويا وتبسيطها.
Review instructions, questions, and terminology for accuracy and simplicity.</t>
  </si>
  <si>
    <t>مراجعة صياغة التعليمات والأسئلة مع منسق المادة.
Review wording of instructions and questions with the subject coordinator.</t>
  </si>
  <si>
    <t>توظيف استراتيجيات وأنشطة تعليمية فاعلة
Using Effective Teaching Strategies and Activities</t>
  </si>
  <si>
    <t>نوّع بين التعلم التعاوني والنشط وحل المشكلات والمشاريع.
Vary cooperative learning, active learning, problem-solving, and projects.</t>
  </si>
  <si>
    <t>تطبيق استراتيجيتين جديدتين خلال أسبوعين.
Apply two new strategies within two weeks.</t>
  </si>
  <si>
    <t>أضف وسائط بصرية أو رقمية أو تفاعلية تدعم الناتج بدقة.
Add visual, digital, or interactive media that accurately supports the outcome.</t>
  </si>
  <si>
    <t>إنتاج أو جمع مصدرين داعمين لكل درس.
Produce or collect two supporting resources for each lesson.</t>
  </si>
  <si>
    <t>مراعاة الفروق الفردية واحتياجات أصحاب الهمم
Addressing Individual Differences and Students of Determination</t>
  </si>
  <si>
    <t>قدم أنشطة متدرجة وتكييفات واضحة وخيارات تعلم متنوعة.
Provide tiered activities, clear adaptations, and varied learning choices.</t>
  </si>
  <si>
    <t>تعديل نشاطين على الأقل بمستويات مختلفة.
Modify at least two activities at different levels.</t>
  </si>
  <si>
    <t>ثبت روتينا واضحا للبداية والانتقال والمتابعة والانضباط.
Establish a clear routine for start, transitions, follow-up, and discipline.</t>
  </si>
  <si>
    <t>تطبيق روتين دخول وخروج وانتقال واضح يوميا.
Apply a clear daily routine for entry, exit, and transitions.</t>
  </si>
  <si>
    <t>تشجيع المشاركة ورفع الدافعية نحو التعلم
Encouraging Participation and Increasing Motivation to Learn</t>
  </si>
  <si>
    <t>استخدم التعزيز الفوري والمنافسة الإيجابية وتوزيع الأدوار.
Use immediate reinforcement, positive competition, and role distribution.</t>
  </si>
  <si>
    <t>تنفيذ نظام نقاط أو بطاقات تشجيع داخل الصف.
Implement a points system or encouragement cards in class.</t>
  </si>
  <si>
    <t>إدارة الوقت وتوزيعه على فعاليات التعلم
Managing Time Across Learning Activities</t>
  </si>
  <si>
    <t>حدد زمنا لكل مرحلة واستخدم مؤقتا مرئيا أثناء الحصة.
Set time for each stage and use a visible timer during the lesson.</t>
  </si>
  <si>
    <t>تقسيم الحصة إلى مراحل زمنية ومتابعتها بمؤقت.
Divide the lesson into timed stages and monitor them with a timer.</t>
  </si>
  <si>
    <t>استمرارية التقويم بأنواعه المختلفة
Ensuring Continuous Use of Different Assessment Types</t>
  </si>
  <si>
    <t>أضف تقويما قبليا ومرحليا وختاميا في كل حصة.
Add pre-, formative, and summative assessment in every lesson.</t>
  </si>
  <si>
    <t>إدراج تقويم قبلي وExit ticket في كل حصة.
Include a pre-assessment and an exit ticket in every lesson.</t>
  </si>
  <si>
    <t>استخدم قوائم تحقق وRubrics واختبارات قصيرة ومنتجات تعلم.
Use checklists, rubrics, short quizzes, and learning products.</t>
  </si>
  <si>
    <t>بناء أداة قياس قصيرة وملاحظة أدائية لكل درس.
Build a short measurement tool and performance observation for each lesson.</t>
  </si>
  <si>
    <t>قدم ملاحظات محددة مع فرصة مباشرة لإعادة التحسين.
Provide specific comments with an immediate opportunity to improve.</t>
  </si>
  <si>
    <t>كتابة ملاحظات محددة على أعمال الطلبة ثم إعادة المحاولة.
Write specific comments on students’ work, then allow another attempt.</t>
  </si>
  <si>
    <t>إتاحة الفرصة للتقييم الذاتي وتقييم الأقران
Providing Opportunities for Self- and Peer Assessment</t>
  </si>
  <si>
    <t>استخدم بطاقات تقييم ذاتي وتقييم أقران في نهاية النشاط.
Use self- and peer-assessment cards at the end of the activity.</t>
  </si>
  <si>
    <t>استخدام بطاقة تقييم ذاتي بسيطة بعد النشاط الرئيس.
Use a simple self-assessment card after the main activity.</t>
  </si>
  <si>
    <t>تأكد من جاهزية المكان والأدوات والقواعد النفسية قبل البدء.
Ensure readiness of the space, tools, and psychological ground rules before starting.</t>
  </si>
  <si>
    <t>فحص جاهزية الأدوات وقواعد الصف قبل كل حصة.
Check tools and class rules before every lesson.</t>
  </si>
  <si>
    <t>تعزيز الاتصال والتواصل مع المتعلمين
Strengthening Communication with Learners</t>
  </si>
  <si>
    <t>خصص وقتا للاستماع والتشجيع وبناء الثقة والاحترام المتبادل.
Allocate time for listening, encouragement, trust, and mutual respect.</t>
  </si>
  <si>
    <t>تطبيق استراتيجية سؤال/دعم فردي يومي مع الطلبة.
Apply a daily individual question/support strategy with learners.</t>
  </si>
  <si>
    <t>اعتمد نظام تعزيز واضحا مرتبطا بالإنجاز والسلوك الإيجابي.
Adopt a clear reinforcement system linked to achievement and positive behavior.</t>
  </si>
  <si>
    <t>تخصيص تعزيز أسبوعي للسلوك والإنجاز.
Assign weekly reinforcement for behavior and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</si>
</sst>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ont>
    <font>
      <b/>
      <sz val="14"/>
      <color rgb="FFFFFFFF"/>
      <name val="Arial"/>
      <family val="2"/>
    </font>
    <font>
      <b/>
      <sz val="11"/>
      <name val="Arial"/>
      <family val="2"/>
    </font>
    <font>
      <b/>
      <sz val="11"/>
      <color rgb="FFFFFFFF"/>
      <name val="Arial"/>
      <family val="2"/>
    </font>
    <font>
      <b/>
      <sz val="13"/>
      <color rgb="FFFFFFFF"/>
      <name val="Calibri"/>
      <family val="2"/>
    </font>
    <font>
      <sz val="11"/>
      <color theme="1"/>
      <name val="Calibri"/>
      <family val="2"/>
    </font>
    <font>
      <b/>
      <sz val="14"/>
      <color theme="8" tint="-0.499984740745262"/>
      <name val="Calibri"/>
      <family val="2"/>
    </font>
    <font>
      <b/>
      <sz val="10"/>
      <name val="Arial"/>
      <family val="2"/>
    </font>
    <font>
      <sz val="10"/>
      <color rgb="FF000000"/>
      <name val="Arial"/>
      <family val="2"/>
    </font>
    <font>
      <b/>
      <sz val="10"/>
      <color rgb="FFFFFFFF"/>
      <name val="Arial"/>
      <family val="2"/>
    </font>
    <font>
      <sz val="10"/>
      <color theme="1"/>
      <name val="Arial"/>
      <family val="2"/>
    </font>
    <font>
      <sz val="11"/>
      <color rgb="FF000000"/>
      <name val="Calibri"/>
      <family val="2"/>
    </font>
    <font>
      <b/>
      <sz val="8"/>
      <name val="Arial"/>
      <family val="2"/>
    </font>
    <font>
      <sz val="11"/>
      <color theme="1"/>
      <name val="Calibri"/>
      <family val="2"/>
      <scheme val="minor"/>
    </font>
  </fonts>
  <fills count="14">
    <fill>
      <patternFill patternType="none"/>
    </fill>
    <fill>
      <patternFill patternType="gray125"/>
    </fill>
    <fill>
      <patternFill patternType="solid">
        <fgColor rgb="FF1F4E78"/>
      </patternFill>
    </fill>
    <fill>
      <patternFill patternType="solid">
        <fgColor theme="3" tint="0.89999084444715716"/>
        <bgColor indexed="64"/>
      </patternFill>
    </fill>
    <fill>
      <patternFill patternType="solid">
        <fgColor theme="8" tint="0.79998168889431442"/>
        <bgColor indexed="64"/>
      </patternFill>
    </fill>
    <fill>
      <patternFill patternType="solid">
        <fgColor theme="2"/>
        <bgColor indexed="64"/>
      </patternFill>
    </fill>
    <fill>
      <patternFill patternType="solid">
        <fgColor rgb="FFD9EAF7"/>
        <bgColor rgb="FF000000"/>
      </patternFill>
    </fill>
    <fill>
      <patternFill patternType="solid">
        <fgColor theme="3" tint="0.89996032593768116"/>
        <bgColor indexed="65"/>
      </patternFill>
    </fill>
    <fill>
      <patternFill patternType="solid">
        <fgColor rgb="FF1F4E78"/>
        <bgColor rgb="FFFFFFFF"/>
      </patternFill>
    </fill>
    <fill>
      <patternFill patternType="solid">
        <fgColor rgb="FFD9EAF7"/>
        <bgColor rgb="FFFFFFFF"/>
      </patternFill>
    </fill>
    <fill>
      <patternFill patternType="solid">
        <fgColor rgb="FFE2ECF8"/>
        <bgColor rgb="FF000000"/>
      </patternFill>
    </fill>
    <fill>
      <patternFill patternType="solid">
        <fgColor rgb="FFEEECE1"/>
        <bgColor rgb="FF000000"/>
      </patternFill>
    </fill>
    <fill>
      <patternFill patternType="solid">
        <fgColor rgb="FFEDEDED"/>
        <bgColor rgb="FFFFFFFF"/>
      </patternFill>
    </fill>
    <fill>
      <patternFill patternType="solid">
        <fgColor theme="8" tint="0.79995117038483843"/>
        <bgColor indexed="65"/>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bottom style="thin">
        <color rgb="FFBFBFBF"/>
      </bottom>
      <diagonal/>
    </border>
    <border>
      <left style="thin">
        <color rgb="FFBFBFBF"/>
      </left>
      <right/>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5" fillId="0" borderId="0"/>
  </cellStyleXfs>
  <cellXfs count="52">
    <xf numFmtId="0" fontId="0" fillId="0" borderId="0" xfId="0"/>
    <xf numFmtId="0" fontId="0" fillId="0" borderId="1" xfId="0" applyBorder="1"/>
    <xf numFmtId="0" fontId="0" fillId="0" borderId="1" xfId="0" applyBorder="1" applyAlignment="1">
      <alignment horizontal="right" vertical="center" wrapText="1"/>
    </xf>
    <xf numFmtId="0" fontId="0" fillId="0" borderId="1" xfId="0" applyBorder="1" applyAlignment="1">
      <alignment horizontal="center" vertical="center" wrapText="1"/>
    </xf>
    <xf numFmtId="0" fontId="3" fillId="2" borderId="1" xfId="0" applyFont="1" applyFill="1" applyBorder="1" applyAlignment="1">
      <alignment horizontal="center" vertical="center" wrapText="1"/>
    </xf>
    <xf numFmtId="0" fontId="6" fillId="0" borderId="0" xfId="0" applyFont="1" applyAlignment="1">
      <alignment horizontal="center" wrapText="1" readingOrder="2"/>
    </xf>
    <xf numFmtId="0" fontId="0" fillId="0" borderId="0" xfId="0" applyAlignment="1">
      <alignment readingOrder="2"/>
    </xf>
    <xf numFmtId="0" fontId="6" fillId="0" borderId="0" xfId="0" applyFont="1" applyAlignment="1">
      <alignment wrapText="1" readingOrder="2"/>
    </xf>
    <xf numFmtId="0" fontId="0" fillId="4" borderId="1" xfId="0" applyFill="1" applyBorder="1" applyAlignment="1">
      <alignment horizontal="right" vertical="center" wrapText="1"/>
    </xf>
    <xf numFmtId="0" fontId="0" fillId="5" borderId="1" xfId="0" applyFill="1" applyBorder="1" applyAlignment="1">
      <alignment horizontal="center" vertical="center" wrapText="1"/>
    </xf>
    <xf numFmtId="2" fontId="0" fillId="5" borderId="1" xfId="0" applyNumberFormat="1" applyFill="1" applyBorder="1" applyAlignment="1">
      <alignment horizontal="center" vertical="center" wrapText="1"/>
    </xf>
    <xf numFmtId="9" fontId="0" fillId="5" borderId="1" xfId="0" applyNumberFormat="1" applyFill="1" applyBorder="1" applyAlignment="1">
      <alignment horizontal="center" vertical="center" wrapText="1"/>
    </xf>
    <xf numFmtId="0" fontId="0" fillId="5" borderId="1" xfId="0" applyFill="1" applyBorder="1" applyAlignment="1">
      <alignment horizontal="right" vertical="center" wrapText="1"/>
    </xf>
    <xf numFmtId="0" fontId="0" fillId="0" borderId="0" xfId="0" applyAlignment="1">
      <alignment horizontal="center"/>
    </xf>
    <xf numFmtId="0" fontId="0" fillId="3" borderId="1" xfId="0" applyFill="1" applyBorder="1" applyAlignment="1">
      <alignment horizontal="center" vertical="center" wrapText="1"/>
    </xf>
    <xf numFmtId="0" fontId="7" fillId="6" borderId="1" xfId="0" applyFont="1" applyFill="1" applyBorder="1" applyAlignment="1">
      <alignment wrapText="1" readingOrder="2"/>
    </xf>
    <xf numFmtId="0" fontId="7" fillId="6" borderId="9" xfId="0" applyFont="1" applyFill="1" applyBorder="1" applyAlignment="1">
      <alignment wrapText="1" readingOrder="2"/>
    </xf>
    <xf numFmtId="0" fontId="8" fillId="0" borderId="0" xfId="0" applyFont="1" applyAlignment="1">
      <alignment wrapText="1" readingOrder="2"/>
    </xf>
    <xf numFmtId="0" fontId="9" fillId="2" borderId="0" xfId="1" applyFont="1" applyFill="1" applyAlignment="1">
      <alignment horizontal="center" vertical="center" wrapText="1"/>
    </xf>
    <xf numFmtId="0" fontId="10" fillId="0" borderId="0" xfId="1" applyFont="1" applyAlignment="1">
      <alignment vertical="center" wrapText="1"/>
    </xf>
    <xf numFmtId="0" fontId="10" fillId="7" borderId="0" xfId="1" applyFont="1" applyFill="1" applyAlignment="1">
      <alignment horizontal="right" vertical="center" wrapText="1"/>
    </xf>
    <xf numFmtId="0" fontId="10" fillId="7" borderId="1" xfId="1" applyFont="1" applyFill="1" applyBorder="1" applyAlignment="1">
      <alignment vertical="center" wrapText="1"/>
    </xf>
    <xf numFmtId="0" fontId="5" fillId="0" borderId="0" xfId="0" applyFont="1"/>
    <xf numFmtId="0" fontId="3"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14" fontId="2" fillId="9" borderId="1" xfId="0" applyNumberFormat="1" applyFont="1" applyFill="1" applyBorder="1" applyAlignment="1">
      <alignment horizontal="center" vertical="center" wrapText="1"/>
    </xf>
    <xf numFmtId="0" fontId="5" fillId="10" borderId="1" xfId="0" applyFont="1" applyFill="1" applyBorder="1" applyAlignment="1">
      <alignment horizontal="right" vertical="center" wrapText="1"/>
    </xf>
    <xf numFmtId="0" fontId="5" fillId="11" borderId="1" xfId="0" applyFont="1" applyFill="1" applyBorder="1" applyAlignment="1">
      <alignment horizontal="right" vertical="center" wrapText="1"/>
    </xf>
    <xf numFmtId="0" fontId="11" fillId="11" borderId="1" xfId="0" applyFont="1" applyFill="1" applyBorder="1" applyAlignment="1">
      <alignment horizontal="right" vertical="center" wrapText="1"/>
    </xf>
    <xf numFmtId="0" fontId="5" fillId="12" borderId="1" xfId="0" applyFont="1" applyFill="1" applyBorder="1" applyAlignment="1">
      <alignment horizontal="center" vertical="center" wrapText="1"/>
    </xf>
    <xf numFmtId="0" fontId="5" fillId="0" borderId="1" xfId="0" applyFont="1" applyBorder="1" applyAlignment="1">
      <alignment horizontal="right" vertical="center" wrapText="1"/>
    </xf>
    <xf numFmtId="0" fontId="5" fillId="0" borderId="0" xfId="0" applyFont="1" applyAlignment="1">
      <alignment vertical="center" wrapText="1" readingOrder="2"/>
    </xf>
    <xf numFmtId="0" fontId="5" fillId="0" borderId="0" xfId="0" applyFont="1" applyAlignment="1">
      <alignment vertical="center" wrapText="1"/>
    </xf>
    <xf numFmtId="0" fontId="12" fillId="9" borderId="1" xfId="0" applyFont="1" applyFill="1" applyBorder="1" applyAlignment="1">
      <alignment horizontal="center" vertical="center" wrapText="1"/>
    </xf>
    <xf numFmtId="0" fontId="10" fillId="0" borderId="0" xfId="1" applyFont="1" applyAlignment="1">
      <alignment horizontal="center" vertical="center" wrapText="1"/>
    </xf>
    <xf numFmtId="0" fontId="9" fillId="2" borderId="1" xfId="1" applyFont="1" applyFill="1" applyBorder="1" applyAlignment="1">
      <alignment horizontal="center" vertical="center" wrapText="1"/>
    </xf>
    <xf numFmtId="0" fontId="10" fillId="13" borderId="0" xfId="1" applyFont="1" applyFill="1" applyAlignment="1">
      <alignment horizontal="right" vertical="center" wrapText="1"/>
    </xf>
    <xf numFmtId="0" fontId="0" fillId="0" borderId="1" xfId="0" applyBorder="1" applyAlignment="1">
      <alignment wrapText="1"/>
    </xf>
    <xf numFmtId="0" fontId="10" fillId="7" borderId="1" xfId="1" applyFont="1" applyFill="1" applyBorder="1" applyAlignment="1">
      <alignment horizontal="right" vertical="center" wrapText="1"/>
    </xf>
    <xf numFmtId="0" fontId="3" fillId="8" borderId="2" xfId="0" applyFont="1" applyFill="1" applyBorder="1" applyAlignment="1">
      <alignment horizontal="center" vertical="center" wrapText="1"/>
    </xf>
    <xf numFmtId="0" fontId="6" fillId="0" borderId="0" xfId="0" applyFont="1" applyAlignment="1">
      <alignment horizontal="center" wrapText="1" readingOrder="2"/>
    </xf>
    <xf numFmtId="0" fontId="1" fillId="8" borderId="0" xfId="0" applyFont="1" applyFill="1" applyAlignment="1">
      <alignment horizontal="center" vertical="center" wrapText="1"/>
    </xf>
    <xf numFmtId="0" fontId="4" fillId="2" borderId="0" xfId="0" applyFont="1" applyFill="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5" fillId="3" borderId="7" xfId="0" applyFont="1" applyFill="1" applyBorder="1" applyAlignment="1">
      <alignment horizontal="right" vertical="center" wrapText="1" readingOrder="2"/>
    </xf>
    <xf numFmtId="0" fontId="0" fillId="3" borderId="8" xfId="0" applyFill="1" applyBorder="1" applyAlignment="1">
      <alignment horizontal="right" vertical="center" wrapText="1" readingOrder="2"/>
    </xf>
    <xf numFmtId="0" fontId="0" fillId="3" borderId="9" xfId="0" applyFill="1" applyBorder="1" applyAlignment="1">
      <alignment horizontal="right" vertical="center" wrapText="1" readingOrder="2"/>
    </xf>
    <xf numFmtId="0" fontId="0" fillId="0" borderId="0" xfId="0" applyAlignment="1"/>
    <xf numFmtId="0" fontId="5" fillId="0" borderId="0" xfId="0" applyFont="1" applyAlignment="1"/>
    <xf numFmtId="0" fontId="0" fillId="0" borderId="3" xfId="0" applyBorder="1" applyAlignment="1"/>
    <xf numFmtId="0" fontId="0" fillId="0" borderId="4" xfId="0" applyBorder="1" applyAlignment="1"/>
  </cellXfs>
  <cellStyles count="2">
    <cellStyle name="Normal" xfId="0" builtinId="0"/>
    <cellStyle name="عادي 2" xfId="1" xr:uid="{5DE9B01A-AE5C-46D0-80C1-34EDCE6657CB}"/>
  </cellStyles>
  <dxfs count="4">
    <dxf>
      <fill>
        <patternFill>
          <bgColor rgb="FFFCE4D6"/>
        </patternFill>
      </fill>
    </dxf>
    <dxf>
      <fill>
        <patternFill>
          <bgColor rgb="FFFFF2CC"/>
        </patternFill>
      </fill>
    </dxf>
    <dxf>
      <fill>
        <patternFill>
          <bgColor rgb="FFC6E0B4"/>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2371725</xdr:colOff>
      <xdr:row>0</xdr:row>
      <xdr:rowOff>152400</xdr:rowOff>
    </xdr:from>
    <xdr:to>
      <xdr:col>0</xdr:col>
      <xdr:colOff>5629275</xdr:colOff>
      <xdr:row>0</xdr:row>
      <xdr:rowOff>956479</xdr:rowOff>
    </xdr:to>
    <xdr:pic>
      <xdr:nvPicPr>
        <xdr:cNvPr id="3" name="Picture 2">
          <a:extLst>
            <a:ext uri="{FF2B5EF4-FFF2-40B4-BE49-F238E27FC236}">
              <a16:creationId xmlns:a16="http://schemas.microsoft.com/office/drawing/2014/main" id="{5CD6F969-1074-791E-D0F2-3D67415E0B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9448525" y="152400"/>
          <a:ext cx="3257550" cy="804079"/>
        </a:xfrm>
        <a:prstGeom prst="rect">
          <a:avLst/>
        </a:prstGeom>
      </xdr:spPr>
    </xdr:pic>
    <xdr:clientData/>
  </xdr:twoCellAnchor>
  <xdr:twoCellAnchor editAs="oneCell">
    <xdr:from>
      <xdr:col>0</xdr:col>
      <xdr:colOff>2371725</xdr:colOff>
      <xdr:row>0</xdr:row>
      <xdr:rowOff>152400</xdr:rowOff>
    </xdr:from>
    <xdr:to>
      <xdr:col>0</xdr:col>
      <xdr:colOff>5629275</xdr:colOff>
      <xdr:row>0</xdr:row>
      <xdr:rowOff>927904</xdr:rowOff>
    </xdr:to>
    <xdr:pic>
      <xdr:nvPicPr>
        <xdr:cNvPr id="2" name="/xl/media/image.jpg">
          <a:extLst>
            <a:ext uri="{FF2B5EF4-FFF2-40B4-BE49-F238E27FC236}">
              <a16:creationId xmlns:a16="http://schemas.microsoft.com/office/drawing/2014/main" id="{FDBDF4CC-7FC4-4391-907A-9955F66675D0}"/>
            </a:ext>
          </a:extLst>
        </xdr:cNvPr>
        <xdr:cNvPicPr>
          <a:picLocks noChangeAspect="1"/>
        </xdr:cNvPicPr>
      </xdr:nvPicPr>
      <xdr:blipFill>
        <a:blip xmlns:r="http://schemas.openxmlformats.org/officeDocument/2006/relationships" r:embed="rId1"/>
        <a:stretch>
          <a:fillRect/>
        </a:stretch>
      </xdr:blipFill>
      <xdr:spPr>
        <a:xfrm>
          <a:off x="9987114900" y="152400"/>
          <a:ext cx="3257550" cy="7755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819150</xdr:colOff>
      <xdr:row>0</xdr:row>
      <xdr:rowOff>152401</xdr:rowOff>
    </xdr:from>
    <xdr:to>
      <xdr:col>5</xdr:col>
      <xdr:colOff>209550</xdr:colOff>
      <xdr:row>0</xdr:row>
      <xdr:rowOff>1181101</xdr:rowOff>
    </xdr:to>
    <xdr:pic>
      <xdr:nvPicPr>
        <xdr:cNvPr id="2" name="Picture 1">
          <a:extLst>
            <a:ext uri="{FF2B5EF4-FFF2-40B4-BE49-F238E27FC236}">
              <a16:creationId xmlns:a16="http://schemas.microsoft.com/office/drawing/2014/main" id="{5CDEBC39-B2F0-4182-9C0A-B96A855F2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3914500" y="152401"/>
          <a:ext cx="3257550" cy="1028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733425</xdr:colOff>
      <xdr:row>0</xdr:row>
      <xdr:rowOff>161926</xdr:rowOff>
    </xdr:from>
    <xdr:to>
      <xdr:col>6</xdr:col>
      <xdr:colOff>409575</xdr:colOff>
      <xdr:row>0</xdr:row>
      <xdr:rowOff>1000126</xdr:rowOff>
    </xdr:to>
    <xdr:pic>
      <xdr:nvPicPr>
        <xdr:cNvPr id="2" name="Picture 1">
          <a:extLst>
            <a:ext uri="{FF2B5EF4-FFF2-40B4-BE49-F238E27FC236}">
              <a16:creationId xmlns:a16="http://schemas.microsoft.com/office/drawing/2014/main" id="{2EA4F19C-E1FF-497F-9068-E462B7934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4466950" y="161926"/>
          <a:ext cx="3257550" cy="838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1619250</xdr:colOff>
      <xdr:row>0</xdr:row>
      <xdr:rowOff>0</xdr:rowOff>
    </xdr:from>
    <xdr:to>
      <xdr:col>5</xdr:col>
      <xdr:colOff>590550</xdr:colOff>
      <xdr:row>0</xdr:row>
      <xdr:rowOff>885825</xdr:rowOff>
    </xdr:to>
    <xdr:pic>
      <xdr:nvPicPr>
        <xdr:cNvPr id="2" name="Picture 1">
          <a:extLst>
            <a:ext uri="{FF2B5EF4-FFF2-40B4-BE49-F238E27FC236}">
              <a16:creationId xmlns:a16="http://schemas.microsoft.com/office/drawing/2014/main" id="{EB80B0BA-8D9C-4FD8-9D95-9223D84EAD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4390750" y="0"/>
          <a:ext cx="3257550" cy="8858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438150</xdr:colOff>
      <xdr:row>0</xdr:row>
      <xdr:rowOff>47626</xdr:rowOff>
    </xdr:from>
    <xdr:to>
      <xdr:col>4</xdr:col>
      <xdr:colOff>1028700</xdr:colOff>
      <xdr:row>0</xdr:row>
      <xdr:rowOff>933450</xdr:rowOff>
    </xdr:to>
    <xdr:pic>
      <xdr:nvPicPr>
        <xdr:cNvPr id="2" name="Picture 1">
          <a:extLst>
            <a:ext uri="{FF2B5EF4-FFF2-40B4-BE49-F238E27FC236}">
              <a16:creationId xmlns:a16="http://schemas.microsoft.com/office/drawing/2014/main" id="{AFDD81E7-8219-4A1E-97E2-CD5200FCC8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8057875" y="47626"/>
          <a:ext cx="3257550" cy="885824"/>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mailto:Huaizhi.Xu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rightToLeft="1" workbookViewId="0">
      <selection activeCell="A13" sqref="A13"/>
    </sheetView>
  </sheetViews>
  <sheetFormatPr defaultColWidth="9.140625" defaultRowHeight="15"/>
  <cols>
    <col min="1" max="1" width="120" style="6" customWidth="1"/>
    <col min="2" max="16384" width="9.140625" style="6"/>
  </cols>
  <sheetData>
    <row r="1" spans="1:5" ht="136.5" customHeight="1">
      <c r="A1" s="5" t="s">
        <v>0</v>
      </c>
    </row>
    <row r="2" spans="1:5" customFormat="1" ht="24.4" customHeight="1">
      <c r="A2" s="18" t="s">
        <v>1</v>
      </c>
      <c r="B2" s="19"/>
      <c r="C2" s="19"/>
      <c r="D2" s="19"/>
      <c r="E2" s="19"/>
    </row>
    <row r="3" spans="1:5" customFormat="1" ht="24.4" customHeight="1">
      <c r="A3" s="20" t="s">
        <v>2</v>
      </c>
      <c r="B3" s="19"/>
      <c r="C3" s="19"/>
      <c r="D3" s="19"/>
      <c r="E3" s="19"/>
    </row>
    <row r="4" spans="1:5" customFormat="1" ht="24.4" customHeight="1">
      <c r="A4" s="20" t="s">
        <v>3</v>
      </c>
      <c r="B4" s="19"/>
      <c r="C4" s="19"/>
      <c r="D4" s="19"/>
      <c r="E4" s="19"/>
    </row>
    <row r="5" spans="1:5" customFormat="1" ht="24.4" customHeight="1">
      <c r="A5" s="20" t="s">
        <v>4</v>
      </c>
      <c r="B5" s="19"/>
      <c r="C5" s="19"/>
      <c r="D5" s="19"/>
      <c r="E5" s="19"/>
    </row>
    <row r="6" spans="1:5" customFormat="1" ht="24.4" customHeight="1">
      <c r="A6" s="20" t="s">
        <v>5</v>
      </c>
      <c r="B6" s="19"/>
      <c r="C6" s="19"/>
      <c r="D6" s="19"/>
      <c r="E6" s="19"/>
    </row>
    <row r="7" spans="1:5" customFormat="1" ht="24.4" customHeight="1">
      <c r="A7" s="20" t="s">
        <v>6</v>
      </c>
      <c r="B7" s="19"/>
      <c r="C7" s="19"/>
      <c r="D7" s="19"/>
      <c r="E7" s="19"/>
    </row>
    <row r="8" spans="1:5" customFormat="1" ht="24.4" customHeight="1">
      <c r="A8" s="20" t="s">
        <v>7</v>
      </c>
      <c r="B8" s="19"/>
      <c r="C8" s="19"/>
      <c r="D8" s="19"/>
      <c r="E8" s="19"/>
    </row>
    <row r="9" spans="1:5" customFormat="1" ht="24.4" customHeight="1">
      <c r="A9" s="20" t="s">
        <v>8</v>
      </c>
      <c r="B9" s="19"/>
      <c r="C9" s="19"/>
      <c r="D9" s="19"/>
      <c r="E9" s="19"/>
    </row>
    <row r="10" spans="1:5" customFormat="1" ht="15" customHeight="1">
      <c r="A10" s="19"/>
      <c r="B10" s="19"/>
      <c r="C10" s="19"/>
      <c r="D10" s="19"/>
      <c r="E10" s="19"/>
    </row>
    <row r="11" spans="1:5" customFormat="1" ht="15" customHeight="1">
      <c r="A11" s="19"/>
      <c r="B11" s="19"/>
      <c r="C11" s="19"/>
      <c r="D11" s="19"/>
      <c r="E11" s="19"/>
    </row>
    <row r="12" spans="1:5" customFormat="1" ht="24.4" customHeight="1">
      <c r="A12" s="18" t="s">
        <v>9</v>
      </c>
      <c r="B12" s="19"/>
      <c r="C12" s="19"/>
      <c r="D12" s="19"/>
      <c r="E12" s="19"/>
    </row>
    <row r="13" spans="1:5" customFormat="1" ht="36.6" customHeight="1">
      <c r="A13" s="21" t="s">
        <v>10</v>
      </c>
      <c r="B13" s="19"/>
      <c r="C13" s="19"/>
      <c r="D13" s="19"/>
      <c r="E13" s="19"/>
    </row>
    <row r="14" spans="1:5" customFormat="1" ht="15" customHeight="1">
      <c r="A14" s="19"/>
      <c r="B14" s="19"/>
      <c r="C14" s="19"/>
      <c r="D14" s="19"/>
      <c r="E14" s="19"/>
    </row>
    <row r="15" spans="1:5" customFormat="1" ht="15" customHeight="1">
      <c r="A15" s="19"/>
      <c r="B15" s="19"/>
      <c r="C15" s="19"/>
      <c r="D15" s="19"/>
      <c r="E15" s="19"/>
    </row>
    <row r="16" spans="1:5" customFormat="1" ht="24.4" customHeight="1">
      <c r="A16" s="18" t="s">
        <v>11</v>
      </c>
      <c r="B16" s="19"/>
      <c r="C16" s="19"/>
      <c r="D16" s="19"/>
      <c r="E16" s="19"/>
    </row>
    <row r="17" spans="1:5" customFormat="1" ht="24.4" customHeight="1">
      <c r="A17" s="21" t="s">
        <v>12</v>
      </c>
      <c r="B17" s="19"/>
      <c r="C17" s="19"/>
      <c r="D17" s="19"/>
      <c r="E17" s="1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5"/>
  <sheetViews>
    <sheetView rightToLeft="1" workbookViewId="0">
      <selection activeCell="C17" sqref="C17"/>
    </sheetView>
  </sheetViews>
  <sheetFormatPr defaultRowHeight="15"/>
  <cols>
    <col min="1" max="1" width="22" customWidth="1"/>
    <col min="2" max="4" width="16" customWidth="1"/>
    <col min="5" max="5" width="10" customWidth="1"/>
    <col min="6" max="6" width="14" customWidth="1"/>
    <col min="7" max="7" width="24" customWidth="1"/>
    <col min="8" max="8" width="0" hidden="1" customWidth="1"/>
    <col min="9" max="9" width="24" hidden="1" customWidth="1"/>
    <col min="10" max="10" width="12" hidden="1" customWidth="1"/>
  </cols>
  <sheetData>
    <row r="1" spans="1:10" s="6" customFormat="1" ht="148.5" customHeight="1">
      <c r="A1" s="40" t="s">
        <v>0</v>
      </c>
      <c r="B1" s="40"/>
      <c r="C1" s="40"/>
      <c r="D1" s="40"/>
      <c r="E1" s="40"/>
      <c r="F1" s="40"/>
      <c r="G1" s="40"/>
      <c r="H1" s="7"/>
      <c r="I1" s="7"/>
      <c r="J1" s="7"/>
    </row>
    <row r="3" spans="1:10" ht="15" customHeight="1">
      <c r="A3" s="42"/>
      <c r="B3" s="42"/>
      <c r="C3" s="42"/>
      <c r="D3" s="42"/>
      <c r="E3" s="42"/>
      <c r="F3" s="42"/>
      <c r="G3" s="42"/>
      <c r="H3" s="42"/>
      <c r="I3" s="42"/>
      <c r="J3" s="42"/>
    </row>
    <row r="5" spans="1:10" ht="27">
      <c r="A5" s="4" t="s">
        <v>13</v>
      </c>
      <c r="B5" s="4" t="s">
        <v>14</v>
      </c>
      <c r="C5" s="4" t="s">
        <v>15</v>
      </c>
      <c r="D5" s="4" t="s">
        <v>16</v>
      </c>
      <c r="E5" s="4" t="s">
        <v>17</v>
      </c>
      <c r="F5" s="4" t="s">
        <v>18</v>
      </c>
      <c r="G5" s="4" t="s">
        <v>19</v>
      </c>
      <c r="I5" s="43" t="s">
        <v>20</v>
      </c>
      <c r="J5" s="44"/>
    </row>
    <row r="6" spans="1:10">
      <c r="A6" s="1" t="str">
        <f>التقييم!B5</f>
        <v>رشا احمد محمود عبدالسلام</v>
      </c>
      <c r="B6" s="37" t="str">
        <f>التقييم!B6</f>
        <v>الفنون البصرية</v>
      </c>
      <c r="C6" s="1">
        <f>التقييم!B7</f>
        <v>282439</v>
      </c>
      <c r="D6" s="1" t="str">
        <f>التقييم!E6</f>
        <v>13/5/2026</v>
      </c>
      <c r="E6" s="1">
        <f>التقييم!E3</f>
        <v>4.63</v>
      </c>
      <c r="F6" s="1" t="str">
        <f>التقييم!G3</f>
        <v>جيد جدا
Very Good</v>
      </c>
      <c r="G6" s="1">
        <f>التقييم!I3</f>
        <v>0</v>
      </c>
      <c r="I6" s="4" t="s">
        <v>21</v>
      </c>
      <c r="J6" s="3">
        <f>COUNTIF(E6:E25,"جيد")</f>
        <v>0</v>
      </c>
    </row>
    <row r="7" spans="1:10">
      <c r="A7" s="1"/>
      <c r="B7" s="1"/>
      <c r="C7" s="1"/>
      <c r="D7" s="1"/>
      <c r="E7" s="1"/>
      <c r="F7" s="1"/>
      <c r="G7" s="1"/>
      <c r="I7" s="4" t="s">
        <v>22</v>
      </c>
      <c r="J7" s="3">
        <f>COUNTIF(F6:F25,"جيد جدا")</f>
        <v>0</v>
      </c>
    </row>
    <row r="8" spans="1:10">
      <c r="A8" s="1"/>
      <c r="B8" s="1"/>
      <c r="C8" s="1"/>
      <c r="D8" s="1"/>
      <c r="E8" s="1"/>
      <c r="F8" s="1"/>
      <c r="G8" s="1"/>
    </row>
    <row r="9" spans="1:10">
      <c r="A9" s="1"/>
      <c r="B9" s="1"/>
      <c r="C9" s="1"/>
      <c r="D9" s="1"/>
      <c r="E9" s="1"/>
      <c r="F9" s="1"/>
      <c r="G9" s="1"/>
    </row>
    <row r="10" spans="1:10">
      <c r="A10" s="1"/>
      <c r="B10" s="1"/>
      <c r="C10" s="1"/>
      <c r="D10" s="1"/>
      <c r="E10" s="1"/>
      <c r="F10" s="1"/>
      <c r="G10" s="1"/>
    </row>
    <row r="11" spans="1:10">
      <c r="A11" s="1"/>
      <c r="B11" s="1"/>
      <c r="C11" s="1"/>
      <c r="D11" s="1"/>
      <c r="E11" s="1"/>
      <c r="F11" s="1"/>
      <c r="G11" s="1"/>
    </row>
    <row r="12" spans="1:10">
      <c r="A12" s="1"/>
      <c r="B12" s="1"/>
      <c r="C12" s="1"/>
      <c r="D12" s="1"/>
      <c r="E12" s="1"/>
      <c r="F12" s="1"/>
      <c r="G12" s="1"/>
    </row>
    <row r="13" spans="1:10">
      <c r="A13" s="1"/>
      <c r="B13" s="1"/>
      <c r="C13" s="1"/>
      <c r="D13" s="1"/>
      <c r="E13" s="1"/>
      <c r="F13" s="1"/>
      <c r="G13" s="1"/>
    </row>
    <row r="14" spans="1:10">
      <c r="A14" s="1"/>
      <c r="B14" s="1"/>
      <c r="C14" s="1"/>
      <c r="D14" s="1"/>
      <c r="E14" s="1"/>
      <c r="F14" s="1"/>
      <c r="G14" s="1"/>
    </row>
    <row r="15" spans="1:10">
      <c r="A15" s="1"/>
      <c r="B15" s="1"/>
      <c r="C15" s="1"/>
      <c r="D15" s="1"/>
      <c r="E15" s="1"/>
      <c r="F15" s="1"/>
      <c r="G15" s="1"/>
    </row>
    <row r="16" spans="1:10">
      <c r="A16" s="1"/>
      <c r="B16" s="1"/>
      <c r="C16" s="1"/>
      <c r="D16" s="1"/>
      <c r="E16" s="1"/>
      <c r="F16" s="1"/>
      <c r="G16" s="1"/>
    </row>
    <row r="17" spans="1:7">
      <c r="A17" s="1"/>
      <c r="B17" s="1"/>
      <c r="C17" s="1"/>
      <c r="D17" s="1"/>
      <c r="E17" s="1"/>
      <c r="F17" s="1"/>
      <c r="G17" s="1"/>
    </row>
    <row r="18" spans="1:7">
      <c r="A18" s="1"/>
      <c r="B18" s="1"/>
      <c r="C18" s="1"/>
      <c r="D18" s="1"/>
      <c r="E18" s="1"/>
      <c r="F18" s="1"/>
      <c r="G18" s="1"/>
    </row>
    <row r="19" spans="1:7">
      <c r="A19" s="1"/>
      <c r="B19" s="1"/>
      <c r="C19" s="1"/>
      <c r="D19" s="1"/>
      <c r="E19" s="1"/>
      <c r="F19" s="1"/>
      <c r="G19" s="1"/>
    </row>
    <row r="20" spans="1:7">
      <c r="A20" s="1"/>
      <c r="B20" s="1"/>
      <c r="C20" s="1"/>
      <c r="D20" s="1"/>
      <c r="E20" s="1"/>
      <c r="F20" s="1"/>
      <c r="G20" s="1"/>
    </row>
    <row r="21" spans="1:7">
      <c r="A21" s="1"/>
      <c r="B21" s="1"/>
      <c r="C21" s="1"/>
      <c r="D21" s="1"/>
      <c r="E21" s="1"/>
      <c r="F21" s="1"/>
      <c r="G21" s="1"/>
    </row>
    <row r="22" spans="1:7">
      <c r="A22" s="1"/>
      <c r="B22" s="1"/>
      <c r="C22" s="1"/>
      <c r="D22" s="1"/>
      <c r="E22" s="1"/>
      <c r="F22" s="1"/>
      <c r="G22" s="1"/>
    </row>
    <row r="23" spans="1:7">
      <c r="A23" s="1"/>
      <c r="B23" s="1"/>
      <c r="C23" s="1"/>
      <c r="D23" s="1"/>
      <c r="E23" s="1"/>
      <c r="F23" s="1"/>
      <c r="G23" s="1"/>
    </row>
    <row r="24" spans="1:7">
      <c r="A24" s="1"/>
      <c r="B24" s="1"/>
      <c r="C24" s="1"/>
      <c r="D24" s="1"/>
      <c r="E24" s="1"/>
      <c r="F24" s="1"/>
      <c r="G24" s="1"/>
    </row>
    <row r="25" spans="1:7">
      <c r="A25" s="1"/>
      <c r="B25" s="1"/>
      <c r="C25" s="1"/>
      <c r="D25" s="1"/>
      <c r="E25" s="1"/>
      <c r="F25" s="1"/>
      <c r="G25" s="1"/>
    </row>
  </sheetData>
  <mergeCells count="3">
    <mergeCell ref="A3:J3"/>
    <mergeCell ref="I5:J5"/>
    <mergeCell ref="A1:G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33"/>
  <sheetViews>
    <sheetView rightToLeft="1" tabSelected="1" topLeftCell="C6" workbookViewId="0">
      <selection activeCell="F12" sqref="F12"/>
    </sheetView>
  </sheetViews>
  <sheetFormatPr defaultColWidth="26.85546875" defaultRowHeight="15"/>
  <cols>
    <col min="8" max="8" width="11.7109375" bestFit="1" customWidth="1"/>
    <col min="10" max="10" width="0" hidden="1" customWidth="1"/>
    <col min="12" max="12" width="29.28515625" customWidth="1"/>
    <col min="13" max="19" width="0" hidden="1" customWidth="1"/>
  </cols>
  <sheetData>
    <row r="1" spans="1:17" s="6" customFormat="1" ht="136.5" customHeight="1">
      <c r="A1" s="40" t="s">
        <v>0</v>
      </c>
      <c r="B1" s="40"/>
      <c r="C1" s="40"/>
      <c r="D1" s="40"/>
      <c r="E1" s="40"/>
      <c r="F1" s="40"/>
      <c r="G1" s="40"/>
      <c r="H1" s="40"/>
      <c r="I1" s="40"/>
      <c r="J1" s="40"/>
      <c r="K1" s="40"/>
      <c r="L1" s="40"/>
    </row>
    <row r="2" spans="1:17">
      <c r="A2" s="41" t="s">
        <v>23</v>
      </c>
      <c r="B2" s="48"/>
      <c r="C2" s="48"/>
      <c r="D2" s="48"/>
      <c r="E2" s="48"/>
      <c r="F2" s="48"/>
      <c r="G2" s="48"/>
      <c r="H2" s="49"/>
      <c r="I2" s="49"/>
      <c r="J2" s="49"/>
      <c r="K2" s="49"/>
      <c r="L2" s="49"/>
      <c r="M2" s="22"/>
    </row>
    <row r="3" spans="1:17" ht="39.75">
      <c r="A3" s="22"/>
      <c r="D3" s="23" t="s">
        <v>24</v>
      </c>
      <c r="E3" s="24">
        <f>IF(COUNT(H10:H33)=0,"",ROUND(SUM(H10:H33)/COUNT(H10:H33),2))</f>
        <v>4.63</v>
      </c>
      <c r="F3" s="23" t="s">
        <v>25</v>
      </c>
      <c r="G3" s="24" t="str">
        <f>IF(E3="","",IF(E3&gt;=4.3,"جيد جدا
Very Good",IF(E3&gt;=3.5,"جيد
Good",IF(E3&gt;=2.5,"مقبول
Acceptable","يحتاج إلى دعم
Needs Support"))))</f>
        <v>جيد جدا
Very Good</v>
      </c>
      <c r="H3" s="23" t="s">
        <v>26</v>
      </c>
      <c r="I3" s="24">
        <f>COUNT($J$10:$J$33)</f>
        <v>0</v>
      </c>
      <c r="J3" s="22"/>
      <c r="K3" s="22"/>
      <c r="L3" s="22"/>
      <c r="M3" s="22"/>
    </row>
    <row r="4" spans="1:17" ht="28.5" customHeight="1">
      <c r="A4" s="22"/>
      <c r="H4" s="22"/>
      <c r="I4" s="22"/>
      <c r="J4" s="22"/>
      <c r="K4" s="22"/>
      <c r="L4" s="22"/>
      <c r="M4" s="22"/>
    </row>
    <row r="5" spans="1:17" ht="28.5" customHeight="1">
      <c r="A5" s="23" t="s">
        <v>13</v>
      </c>
      <c r="B5" s="24" t="s">
        <v>27</v>
      </c>
      <c r="D5" s="23" t="s">
        <v>28</v>
      </c>
      <c r="E5" s="24" t="s">
        <v>29</v>
      </c>
      <c r="G5" s="23" t="s">
        <v>30</v>
      </c>
      <c r="H5" s="24">
        <v>20</v>
      </c>
      <c r="I5" s="22"/>
      <c r="J5" s="22"/>
      <c r="K5" s="23" t="s">
        <v>31</v>
      </c>
      <c r="L5" s="24">
        <v>0</v>
      </c>
      <c r="M5" s="22"/>
    </row>
    <row r="6" spans="1:17" ht="28.5" customHeight="1">
      <c r="A6" s="23" t="s">
        <v>14</v>
      </c>
      <c r="B6" s="24" t="s">
        <v>32</v>
      </c>
      <c r="D6" s="23" t="s">
        <v>33</v>
      </c>
      <c r="E6" s="25" t="s">
        <v>34</v>
      </c>
      <c r="G6" s="23" t="s">
        <v>35</v>
      </c>
      <c r="H6" s="24">
        <v>20</v>
      </c>
      <c r="I6" s="22"/>
      <c r="J6" s="22"/>
      <c r="K6" s="23" t="s">
        <v>36</v>
      </c>
      <c r="L6" s="24"/>
      <c r="M6" s="22"/>
    </row>
    <row r="7" spans="1:17" ht="27">
      <c r="A7" s="23" t="s">
        <v>15</v>
      </c>
      <c r="B7" s="24">
        <v>282439</v>
      </c>
      <c r="D7" s="23" t="s">
        <v>37</v>
      </c>
      <c r="E7" s="24" t="s">
        <v>38</v>
      </c>
      <c r="G7" s="23" t="s">
        <v>39</v>
      </c>
      <c r="H7" s="24">
        <f>H5-H6</f>
        <v>0</v>
      </c>
      <c r="I7" s="22"/>
      <c r="J7" s="22"/>
      <c r="K7" s="23" t="s">
        <v>40</v>
      </c>
      <c r="L7" s="33"/>
      <c r="M7" s="22"/>
    </row>
    <row r="8" spans="1:17" ht="28.5" customHeight="1">
      <c r="A8" s="22"/>
      <c r="H8" s="22"/>
      <c r="I8" s="22"/>
      <c r="J8" s="22"/>
      <c r="K8" s="22"/>
      <c r="L8" s="22"/>
      <c r="M8" s="22"/>
    </row>
    <row r="9" spans="1:17" ht="39.75">
      <c r="A9" s="23" t="s">
        <v>41</v>
      </c>
      <c r="B9" s="23" t="s">
        <v>42</v>
      </c>
      <c r="C9" s="23" t="s">
        <v>43</v>
      </c>
      <c r="D9" s="23" t="s">
        <v>44</v>
      </c>
      <c r="E9" s="23" t="s">
        <v>45</v>
      </c>
      <c r="F9" s="23" t="s">
        <v>46</v>
      </c>
      <c r="G9" s="23" t="s">
        <v>47</v>
      </c>
      <c r="H9" s="23" t="s">
        <v>48</v>
      </c>
      <c r="I9" s="23" t="s">
        <v>49</v>
      </c>
      <c r="J9" s="23" t="s">
        <v>50</v>
      </c>
      <c r="K9" s="23" t="s">
        <v>51</v>
      </c>
      <c r="L9" s="23" t="s">
        <v>52</v>
      </c>
      <c r="M9" s="22"/>
    </row>
    <row r="10" spans="1:17" ht="106.5">
      <c r="A10" s="39" t="s">
        <v>53</v>
      </c>
      <c r="B10" s="26" t="s">
        <v>54</v>
      </c>
      <c r="C10" s="27" t="s">
        <v>55</v>
      </c>
      <c r="D10" s="27" t="s">
        <v>56</v>
      </c>
      <c r="E10" s="27" t="s">
        <v>57</v>
      </c>
      <c r="F10" s="28" t="s">
        <v>58</v>
      </c>
      <c r="G10" s="28" t="s">
        <v>59</v>
      </c>
      <c r="H10" s="29">
        <v>5</v>
      </c>
      <c r="I10" s="30" t="str">
        <f t="shared" ref="I10:I33" si="0">IF(H10="","",CHOOSE(H10,C10,D10,E10,F10,G10))</f>
        <v>الخطة إبداعية ومترابطة وتحقق تعلم جميع المتعلمين.
The plan is creative, coherent, and supports all learners.</v>
      </c>
      <c r="J10" s="30" t="str">
        <f>IF(OR($H10="",$H10&gt;3),"",COUNTIF($H$10:$H$33,"&lt;"&amp;$H10)+COUNTIF($H$10:$H10,$H10))</f>
        <v/>
      </c>
      <c r="K10" s="27" t="s">
        <v>60</v>
      </c>
      <c r="L10" s="31" t="s">
        <v>61</v>
      </c>
      <c r="M10" s="32" t="s">
        <v>62</v>
      </c>
      <c r="N10" s="32" t="s">
        <v>63</v>
      </c>
      <c r="O10" s="32" t="s">
        <v>64</v>
      </c>
      <c r="P10" s="32" t="s">
        <v>65</v>
      </c>
      <c r="Q10" s="32" t="s">
        <v>66</v>
      </c>
    </row>
    <row r="11" spans="1:17" ht="76.5">
      <c r="A11" s="50"/>
      <c r="B11" s="26" t="s">
        <v>67</v>
      </c>
      <c r="C11" s="27" t="s">
        <v>68</v>
      </c>
      <c r="D11" s="27" t="s">
        <v>69</v>
      </c>
      <c r="E11" s="27" t="s">
        <v>70</v>
      </c>
      <c r="F11" s="27" t="s">
        <v>71</v>
      </c>
      <c r="G11" s="28" t="s">
        <v>72</v>
      </c>
      <c r="H11" s="29">
        <v>5</v>
      </c>
      <c r="I11" s="30" t="str">
        <f t="shared" si="0"/>
        <v>أقدم تهيئة مشوقة تثير الفضول والتفكير من بداية الحصة.
An engaging introduction stimulates curiosity and thinking from the start.</v>
      </c>
      <c r="J11" s="30" t="str">
        <f>IF(OR($H11="",$H11&gt;3),"",COUNTIF($H$10:$H$33,"&lt;"&amp;$H11)+COUNTIF($H$10:$H11,$H11))</f>
        <v/>
      </c>
      <c r="K11" s="27" t="s">
        <v>73</v>
      </c>
      <c r="L11" s="31" t="s">
        <v>74</v>
      </c>
      <c r="M11" s="32" t="s">
        <v>75</v>
      </c>
      <c r="N11" s="32" t="s">
        <v>76</v>
      </c>
      <c r="O11" s="32" t="s">
        <v>77</v>
      </c>
      <c r="P11" s="32" t="s">
        <v>78</v>
      </c>
      <c r="Q11" s="32" t="s">
        <v>79</v>
      </c>
    </row>
    <row r="12" spans="1:17" ht="76.5">
      <c r="A12" s="51"/>
      <c r="B12" s="26" t="s">
        <v>80</v>
      </c>
      <c r="C12" s="27" t="s">
        <v>81</v>
      </c>
      <c r="D12" s="27" t="s">
        <v>82</v>
      </c>
      <c r="E12" s="27" t="s">
        <v>83</v>
      </c>
      <c r="F12" s="27" t="s">
        <v>84</v>
      </c>
      <c r="G12" s="27" t="s">
        <v>85</v>
      </c>
      <c r="H12" s="29">
        <v>5</v>
      </c>
      <c r="I12" s="30" t="str">
        <f t="shared" si="0"/>
        <v>يستنتج المتعلمون النواتج ويعبرون عنها بوضوح أثناء الحصة.
Learners infer and express the outcomes clearly during the lesson.</v>
      </c>
      <c r="J12" s="30" t="str">
        <f>IF(OR($H12="",$H12&gt;3),"",COUNTIF($H$10:$H$33,"&lt;"&amp;$H12)+COUNTIF($H$10:$H12,$H12))</f>
        <v/>
      </c>
      <c r="K12" s="27" t="s">
        <v>86</v>
      </c>
      <c r="L12" s="31" t="s">
        <v>87</v>
      </c>
      <c r="M12" s="32" t="s">
        <v>88</v>
      </c>
      <c r="N12" s="32" t="s">
        <v>89</v>
      </c>
      <c r="O12" s="32" t="s">
        <v>90</v>
      </c>
      <c r="P12" s="32" t="s">
        <v>91</v>
      </c>
      <c r="Q12" s="32" t="s">
        <v>92</v>
      </c>
    </row>
    <row r="13" spans="1:17" ht="76.5">
      <c r="A13" s="39" t="s">
        <v>93</v>
      </c>
      <c r="B13" s="26" t="s">
        <v>94</v>
      </c>
      <c r="C13" s="27" t="s">
        <v>95</v>
      </c>
      <c r="D13" s="27" t="s">
        <v>96</v>
      </c>
      <c r="E13" s="28" t="s">
        <v>97</v>
      </c>
      <c r="F13" s="28" t="s">
        <v>98</v>
      </c>
      <c r="G13" s="27" t="s">
        <v>99</v>
      </c>
      <c r="H13" s="29">
        <v>5</v>
      </c>
      <c r="I13" s="30" t="str">
        <f t="shared" si="0"/>
        <v>أمتلك عمقا معرفيا ومهاريا عاليا وأقود المتعلمين إلى فهم متقدم.
There is high knowledge and skill depth leading learners to advanced understanding.</v>
      </c>
      <c r="J13" s="30" t="str">
        <f>IF(OR($H13="",$H13&gt;3),"",COUNTIF($H$10:$H$33,"&lt;"&amp;$H13)+COUNTIF($H$10:$H13,$H13))</f>
        <v/>
      </c>
      <c r="K13" s="27" t="s">
        <v>100</v>
      </c>
      <c r="L13" s="31" t="s">
        <v>101</v>
      </c>
      <c r="M13" s="32" t="s">
        <v>102</v>
      </c>
      <c r="N13" s="32" t="s">
        <v>103</v>
      </c>
      <c r="O13" s="32" t="s">
        <v>104</v>
      </c>
      <c r="P13" s="32" t="s">
        <v>105</v>
      </c>
      <c r="Q13" s="32" t="s">
        <v>106</v>
      </c>
    </row>
    <row r="14" spans="1:17" ht="76.5">
      <c r="A14" s="50"/>
      <c r="B14" s="26" t="s">
        <v>107</v>
      </c>
      <c r="C14" s="27" t="s">
        <v>108</v>
      </c>
      <c r="D14" s="27" t="s">
        <v>109</v>
      </c>
      <c r="E14" s="27" t="s">
        <v>110</v>
      </c>
      <c r="F14" s="27" t="s">
        <v>111</v>
      </c>
      <c r="G14" s="27" t="s">
        <v>112</v>
      </c>
      <c r="H14" s="29">
        <v>5</v>
      </c>
      <c r="I14" s="30" t="str">
        <f t="shared" si="0"/>
        <v>أبني التعلم بتسلسل يقود إلى التحليل والتفكير العالي.
Learning is sequenced to lead to analysis and higher-order thinking.</v>
      </c>
      <c r="J14" s="30" t="str">
        <f>IF(OR($H14="",$H14&gt;3),"",COUNTIF($H$10:$H$33,"&lt;"&amp;$H14)+COUNTIF($H$10:$H14,$H14))</f>
        <v/>
      </c>
      <c r="K14" s="27" t="s">
        <v>113</v>
      </c>
      <c r="L14" s="31" t="s">
        <v>114</v>
      </c>
      <c r="M14" s="32" t="s">
        <v>115</v>
      </c>
      <c r="N14" s="32" t="s">
        <v>116</v>
      </c>
      <c r="O14" s="32" t="s">
        <v>117</v>
      </c>
      <c r="P14" s="32" t="s">
        <v>118</v>
      </c>
      <c r="Q14" s="32" t="s">
        <v>119</v>
      </c>
    </row>
    <row r="15" spans="1:17" ht="76.5">
      <c r="A15" s="50"/>
      <c r="B15" s="26" t="s">
        <v>120</v>
      </c>
      <c r="C15" s="27" t="s">
        <v>121</v>
      </c>
      <c r="D15" s="27" t="s">
        <v>122</v>
      </c>
      <c r="E15" s="27" t="s">
        <v>123</v>
      </c>
      <c r="F15" s="27" t="s">
        <v>124</v>
      </c>
      <c r="G15" s="27" t="s">
        <v>125</v>
      </c>
      <c r="H15" s="29">
        <v>5</v>
      </c>
      <c r="I15" s="30" t="str">
        <f t="shared" si="0"/>
        <v>أمكن المتعلمين من بناء روابط هادفة تعزز الفهم الأكاديمي.
Learners build meaningful links that enhance academic understanding.</v>
      </c>
      <c r="J15" s="30" t="str">
        <f>IF(OR($H15="",$H15&gt;3),"",COUNTIF($H$10:$H$33,"&lt;"&amp;$H15)+COUNTIF($H$10:$H15,$H15))</f>
        <v/>
      </c>
      <c r="K15" s="27" t="s">
        <v>126</v>
      </c>
      <c r="L15" s="31" t="s">
        <v>127</v>
      </c>
      <c r="M15" s="32" t="s">
        <v>128</v>
      </c>
      <c r="N15" s="32" t="s">
        <v>129</v>
      </c>
      <c r="O15" s="32" t="s">
        <v>130</v>
      </c>
      <c r="P15" s="32" t="s">
        <v>131</v>
      </c>
      <c r="Q15" s="32" t="s">
        <v>132</v>
      </c>
    </row>
    <row r="16" spans="1:17" ht="76.5">
      <c r="A16" s="50"/>
      <c r="B16" s="26" t="s">
        <v>133</v>
      </c>
      <c r="C16" s="27" t="s">
        <v>134</v>
      </c>
      <c r="D16" s="27" t="s">
        <v>135</v>
      </c>
      <c r="E16" s="27" t="s">
        <v>136</v>
      </c>
      <c r="F16" s="27" t="s">
        <v>137</v>
      </c>
      <c r="G16" s="27" t="s">
        <v>138</v>
      </c>
      <c r="H16" s="29">
        <v>5</v>
      </c>
      <c r="I16" s="30" t="str">
        <f t="shared" si="0"/>
        <v>أجعل التعلم ذا معنى من خلال مشكلات وأمثلة من حياة المتعلمين.
Learning becomes meaningful through problems and examples from learners’ lives.</v>
      </c>
      <c r="J16" s="30" t="str">
        <f>IF(OR($H16="",$H16&gt;3),"",COUNTIF($H$10:$H$33,"&lt;"&amp;$H16)+COUNTIF($H$10:$H16,$H16))</f>
        <v/>
      </c>
      <c r="K16" s="27" t="s">
        <v>139</v>
      </c>
      <c r="L16" s="31" t="s">
        <v>140</v>
      </c>
      <c r="M16" s="32" t="s">
        <v>141</v>
      </c>
      <c r="N16" s="32" t="s">
        <v>142</v>
      </c>
      <c r="O16" s="32" t="s">
        <v>143</v>
      </c>
      <c r="P16" s="32" t="s">
        <v>144</v>
      </c>
      <c r="Q16" s="32" t="s">
        <v>145</v>
      </c>
    </row>
    <row r="17" spans="1:17" ht="76.5">
      <c r="A17" s="50"/>
      <c r="B17" s="26" t="s">
        <v>146</v>
      </c>
      <c r="C17" s="27" t="s">
        <v>147</v>
      </c>
      <c r="D17" s="27" t="s">
        <v>148</v>
      </c>
      <c r="E17" s="27" t="s">
        <v>149</v>
      </c>
      <c r="F17" s="27" t="s">
        <v>150</v>
      </c>
      <c r="G17" s="27" t="s">
        <v>151</v>
      </c>
      <c r="H17" s="29">
        <v>4</v>
      </c>
      <c r="I17" s="30" t="str">
        <f t="shared" si="0"/>
        <v>أقدم دعما جيدا لمعظم المتعلمين يرفع الأداء والمهارات.
Good support raises the performance and skills of most learners.</v>
      </c>
      <c r="J17" s="30" t="str">
        <f>IF(OR($H17="",$H17&gt;3),"",COUNTIF($H$10:$H$33,"&lt;"&amp;$H17)+COUNTIF($H$10:$H17,$H17))</f>
        <v/>
      </c>
      <c r="K17" s="27" t="s">
        <v>152</v>
      </c>
      <c r="L17" s="31" t="s">
        <v>153</v>
      </c>
      <c r="M17" s="32" t="s">
        <v>154</v>
      </c>
      <c r="N17" s="32" t="s">
        <v>155</v>
      </c>
      <c r="O17" s="32" t="s">
        <v>156</v>
      </c>
      <c r="P17" s="32" t="s">
        <v>157</v>
      </c>
      <c r="Q17" s="32" t="s">
        <v>158</v>
      </c>
    </row>
    <row r="18" spans="1:17" ht="91.5">
      <c r="A18" s="50"/>
      <c r="B18" s="26" t="s">
        <v>159</v>
      </c>
      <c r="C18" s="27" t="s">
        <v>160</v>
      </c>
      <c r="D18" s="27" t="s">
        <v>161</v>
      </c>
      <c r="E18" s="27" t="s">
        <v>162</v>
      </c>
      <c r="F18" s="27" t="s">
        <v>163</v>
      </c>
      <c r="G18" s="27" t="s">
        <v>164</v>
      </c>
      <c r="H18" s="29">
        <v>4</v>
      </c>
      <c r="I18" s="30" t="str">
        <f t="shared" si="0"/>
        <v>يظهر معظم المتعلمين استيعابا واضحا ودقيقا للمفاهيم.
Most learners show clear and accurate understanding of concepts.</v>
      </c>
      <c r="J18" s="30" t="str">
        <f>IF(OR($H18="",$H18&gt;3),"",COUNTIF($H$10:$H$33,"&lt;"&amp;$H18)+COUNTIF($H$10:$H18,$H18))</f>
        <v/>
      </c>
      <c r="K18" s="27" t="s">
        <v>165</v>
      </c>
      <c r="L18" s="31" t="s">
        <v>166</v>
      </c>
      <c r="M18" s="32" t="s">
        <v>167</v>
      </c>
      <c r="N18" s="32" t="s">
        <v>168</v>
      </c>
      <c r="O18" s="32" t="s">
        <v>169</v>
      </c>
      <c r="P18" s="32" t="s">
        <v>170</v>
      </c>
      <c r="Q18" s="32" t="s">
        <v>171</v>
      </c>
    </row>
    <row r="19" spans="1:17" ht="106.5">
      <c r="A19" s="50"/>
      <c r="B19" s="26" t="s">
        <v>172</v>
      </c>
      <c r="C19" s="27" t="s">
        <v>173</v>
      </c>
      <c r="D19" s="27" t="s">
        <v>174</v>
      </c>
      <c r="E19" s="27" t="s">
        <v>175</v>
      </c>
      <c r="F19" s="27" t="s">
        <v>176</v>
      </c>
      <c r="G19" s="27" t="s">
        <v>177</v>
      </c>
      <c r="H19" s="29">
        <v>4</v>
      </c>
      <c r="I19" s="30" t="str">
        <f t="shared" si="0"/>
        <v>أطرح أسئلة واضحة ومتنوعة وأعزز التفكير العالي في مواقف مختلفة.
Clear and varied questions promote higher-order thinking in different situations.</v>
      </c>
      <c r="J19" s="30" t="str">
        <f>IF(OR($H19="",$H19&gt;3),"",COUNTIF($H$10:$H$33,"&lt;"&amp;$H19)+COUNTIF($H$10:$H19,$H19))</f>
        <v/>
      </c>
      <c r="K19" s="27" t="s">
        <v>178</v>
      </c>
      <c r="L19" s="31" t="s">
        <v>179</v>
      </c>
      <c r="M19" s="32" t="s">
        <v>180</v>
      </c>
      <c r="N19" s="32" t="s">
        <v>181</v>
      </c>
      <c r="O19" s="32" t="s">
        <v>182</v>
      </c>
      <c r="P19" s="32" t="s">
        <v>183</v>
      </c>
      <c r="Q19" s="32" t="s">
        <v>184</v>
      </c>
    </row>
    <row r="20" spans="1:17" ht="91.5">
      <c r="A20" s="51"/>
      <c r="B20" s="26" t="s">
        <v>185</v>
      </c>
      <c r="C20" s="27" t="s">
        <v>186</v>
      </c>
      <c r="D20" s="27" t="s">
        <v>187</v>
      </c>
      <c r="E20" s="27" t="s">
        <v>188</v>
      </c>
      <c r="F20" s="27" t="s">
        <v>189</v>
      </c>
      <c r="G20" s="27" t="s">
        <v>190</v>
      </c>
      <c r="H20" s="29">
        <v>4</v>
      </c>
      <c r="I20" s="30" t="str">
        <f t="shared" si="0"/>
        <v>أستخدم لغة سليمة وواضحة في جميع فعاليات الحصة.
Clear and accurate language is used in all lesson activities.</v>
      </c>
      <c r="J20" s="30" t="str">
        <f>IF(OR($H20="",$H20&gt;3),"",COUNTIF($H$10:$H$33,"&lt;"&amp;$H20)+COUNTIF($H$10:$H20,$H20))</f>
        <v/>
      </c>
      <c r="K20" s="27" t="s">
        <v>191</v>
      </c>
      <c r="L20" s="31" t="s">
        <v>192</v>
      </c>
      <c r="M20" s="32" t="s">
        <v>193</v>
      </c>
      <c r="N20" s="32" t="s">
        <v>194</v>
      </c>
      <c r="O20" s="32" t="s">
        <v>195</v>
      </c>
      <c r="P20" s="32" t="s">
        <v>196</v>
      </c>
      <c r="Q20" s="32" t="s">
        <v>197</v>
      </c>
    </row>
    <row r="21" spans="1:17" ht="91.5">
      <c r="A21" s="39" t="s">
        <v>198</v>
      </c>
      <c r="B21" s="26" t="s">
        <v>199</v>
      </c>
      <c r="C21" s="27" t="s">
        <v>200</v>
      </c>
      <c r="D21" s="27" t="s">
        <v>201</v>
      </c>
      <c r="E21" s="27" t="s">
        <v>202</v>
      </c>
      <c r="F21" s="27" t="s">
        <v>203</v>
      </c>
      <c r="G21" s="27" t="s">
        <v>204</v>
      </c>
      <c r="H21" s="29">
        <v>4</v>
      </c>
      <c r="I21" s="30" t="str">
        <f t="shared" si="0"/>
        <v>أوظف استراتيجيات وأنشطة مؤثرة تعزز نمو معظم المتعلمين.
Impactful strategies and activities enhance the growth of most learners.</v>
      </c>
      <c r="J21" s="30" t="str">
        <f>IF(OR($H21="",$H21&gt;3),"",COUNTIF($H$10:$H$33,"&lt;"&amp;$H21)+COUNTIF($H$10:$H21,$H21))</f>
        <v/>
      </c>
      <c r="K21" s="27" t="s">
        <v>205</v>
      </c>
      <c r="L21" s="31" t="s">
        <v>206</v>
      </c>
      <c r="M21" s="32" t="s">
        <v>207</v>
      </c>
      <c r="N21" s="32" t="s">
        <v>208</v>
      </c>
      <c r="O21" s="32" t="s">
        <v>209</v>
      </c>
      <c r="P21" s="32" t="s">
        <v>210</v>
      </c>
      <c r="Q21" s="32" t="s">
        <v>211</v>
      </c>
    </row>
    <row r="22" spans="1:17" ht="91.5">
      <c r="A22" s="50"/>
      <c r="B22" s="26" t="s">
        <v>212</v>
      </c>
      <c r="C22" s="27" t="s">
        <v>213</v>
      </c>
      <c r="D22" s="27" t="s">
        <v>214</v>
      </c>
      <c r="E22" s="27" t="s">
        <v>215</v>
      </c>
      <c r="F22" s="27" t="s">
        <v>216</v>
      </c>
      <c r="G22" s="27" t="s">
        <v>217</v>
      </c>
      <c r="H22" s="29">
        <v>4</v>
      </c>
      <c r="I22" s="30" t="str">
        <f t="shared" si="0"/>
        <v>أوظف أدوات متنوعة ورقمية تدعم التعلم وتحقق مستوى جيد من التمكين.
Varied and digital tools support learning and achieve good empowerment.</v>
      </c>
      <c r="J22" s="30" t="str">
        <f>IF(OR($H22="",$H22&gt;3),"",COUNTIF($H$10:$H$33,"&lt;"&amp;$H22)+COUNTIF($H$10:$H22,$H22))</f>
        <v/>
      </c>
      <c r="K22" s="27" t="s">
        <v>218</v>
      </c>
      <c r="L22" s="31" t="s">
        <v>219</v>
      </c>
      <c r="M22" s="32" t="s">
        <v>220</v>
      </c>
      <c r="N22" s="32" t="s">
        <v>221</v>
      </c>
      <c r="O22" s="32" t="s">
        <v>222</v>
      </c>
      <c r="P22" s="32" t="s">
        <v>223</v>
      </c>
      <c r="Q22" s="32" t="s">
        <v>224</v>
      </c>
    </row>
    <row r="23" spans="1:17" ht="91.5">
      <c r="A23" s="51"/>
      <c r="B23" s="26" t="s">
        <v>225</v>
      </c>
      <c r="C23" s="27" t="s">
        <v>226</v>
      </c>
      <c r="D23" s="27" t="s">
        <v>227</v>
      </c>
      <c r="E23" s="27" t="s">
        <v>228</v>
      </c>
      <c r="F23" s="27" t="s">
        <v>229</v>
      </c>
      <c r="G23" s="27" t="s">
        <v>230</v>
      </c>
      <c r="H23" s="29">
        <v>5</v>
      </c>
      <c r="I23" s="30" t="str">
        <f t="shared" si="0"/>
        <v>أستخدم ممارسات متنوعة وفاعلة تلبي احتياجات جميع المتعلمين.
Varied and effective practices meet the needs of all learners.</v>
      </c>
      <c r="J23" s="30" t="str">
        <f>IF(OR($H23="",$H23&gt;3),"",COUNTIF($H$10:$H$33,"&lt;"&amp;$H23)+COUNTIF($H$10:$H23,$H23))</f>
        <v/>
      </c>
      <c r="K23" s="27" t="s">
        <v>231</v>
      </c>
      <c r="L23" s="31" t="s">
        <v>232</v>
      </c>
      <c r="M23" s="32" t="s">
        <v>233</v>
      </c>
      <c r="N23" s="32" t="s">
        <v>234</v>
      </c>
      <c r="O23" s="32" t="s">
        <v>235</v>
      </c>
      <c r="P23" s="32" t="s">
        <v>236</v>
      </c>
      <c r="Q23" s="32" t="s">
        <v>237</v>
      </c>
    </row>
    <row r="24" spans="1:17" ht="91.5">
      <c r="A24" s="39" t="s">
        <v>238</v>
      </c>
      <c r="B24" s="26" t="s">
        <v>239</v>
      </c>
      <c r="C24" s="27" t="s">
        <v>240</v>
      </c>
      <c r="D24" s="27" t="s">
        <v>241</v>
      </c>
      <c r="E24" s="27" t="s">
        <v>242</v>
      </c>
      <c r="F24" s="27" t="s">
        <v>243</v>
      </c>
      <c r="G24" s="27" t="s">
        <v>244</v>
      </c>
      <c r="H24" s="29">
        <v>5</v>
      </c>
      <c r="I24" s="30" t="str">
        <f t="shared" si="0"/>
        <v>يعكس انضباط المتعلمين الذاتي قوة العلاقة والاتساق في إدارة الصف.
Learners’ self-discipline reflects strong relationships and consistency in classroom management.</v>
      </c>
      <c r="J24" s="30" t="str">
        <f>IF(OR($H24="",$H24&gt;3),"",COUNTIF($H$10:$H$33,"&lt;"&amp;$H24)+COUNTIF($H$10:$H24,$H24))</f>
        <v/>
      </c>
      <c r="K24" s="27" t="s">
        <v>245</v>
      </c>
      <c r="L24" s="31" t="s">
        <v>246</v>
      </c>
      <c r="M24" s="32" t="s">
        <v>247</v>
      </c>
      <c r="N24" s="32" t="s">
        <v>248</v>
      </c>
      <c r="O24" s="32" t="s">
        <v>249</v>
      </c>
      <c r="P24" s="32" t="s">
        <v>250</v>
      </c>
      <c r="Q24" s="32" t="s">
        <v>251</v>
      </c>
    </row>
    <row r="25" spans="1:17" ht="106.5">
      <c r="A25" s="50"/>
      <c r="B25" s="26" t="s">
        <v>252</v>
      </c>
      <c r="C25" s="27" t="s">
        <v>253</v>
      </c>
      <c r="D25" s="27" t="s">
        <v>254</v>
      </c>
      <c r="E25" s="27" t="s">
        <v>255</v>
      </c>
      <c r="F25" s="27" t="s">
        <v>256</v>
      </c>
      <c r="G25" s="27" t="s">
        <v>257</v>
      </c>
      <c r="H25" s="29">
        <v>4</v>
      </c>
      <c r="I25" s="30" t="str">
        <f t="shared" si="0"/>
        <v>أوظف أساليب متنوعة وفعالة ويظهر دافع عال لدى معظم المتعلمين.
Varied and effective methods show high motivation among most learners.</v>
      </c>
      <c r="J25" s="30" t="str">
        <f>IF(OR($H25="",$H25&gt;3),"",COUNTIF($H$10:$H$33,"&lt;"&amp;$H25)+COUNTIF($H$10:$H25,$H25))</f>
        <v/>
      </c>
      <c r="K25" s="27" t="s">
        <v>258</v>
      </c>
      <c r="L25" s="31" t="s">
        <v>259</v>
      </c>
      <c r="M25" s="32" t="s">
        <v>260</v>
      </c>
      <c r="N25" s="32" t="s">
        <v>261</v>
      </c>
      <c r="O25" s="32" t="s">
        <v>262</v>
      </c>
      <c r="P25" s="32" t="s">
        <v>263</v>
      </c>
      <c r="Q25" s="32" t="s">
        <v>264</v>
      </c>
    </row>
    <row r="26" spans="1:17" ht="106.5">
      <c r="A26" s="51"/>
      <c r="B26" s="26" t="s">
        <v>265</v>
      </c>
      <c r="C26" s="27" t="s">
        <v>266</v>
      </c>
      <c r="D26" s="27" t="s">
        <v>267</v>
      </c>
      <c r="E26" s="27" t="s">
        <v>268</v>
      </c>
      <c r="F26" s="27" t="s">
        <v>269</v>
      </c>
      <c r="G26" s="27" t="s">
        <v>270</v>
      </c>
      <c r="H26" s="29">
        <v>5</v>
      </c>
      <c r="I26" s="30" t="str">
        <f t="shared" si="0"/>
        <v>تدار الحصة بدقة زمنية عالية وتغلق في الوقت المحدد مع تحقق جميع النواتج.
The lesson is managed with high timing precision and ends on time with all outcomes achieved.</v>
      </c>
      <c r="J26" s="30" t="str">
        <f>IF(OR($H26="",$H26&gt;3),"",COUNTIF($H$10:$H$33,"&lt;"&amp;$H26)+COUNTIF($H$10:$H26,$H26))</f>
        <v/>
      </c>
      <c r="K26" s="27" t="s">
        <v>271</v>
      </c>
      <c r="L26" s="31" t="s">
        <v>272</v>
      </c>
      <c r="M26" s="32" t="s">
        <v>273</v>
      </c>
      <c r="N26" s="32" t="s">
        <v>274</v>
      </c>
      <c r="O26" s="32" t="s">
        <v>275</v>
      </c>
      <c r="P26" s="32" t="s">
        <v>276</v>
      </c>
      <c r="Q26" s="32" t="s">
        <v>277</v>
      </c>
    </row>
    <row r="27" spans="1:17" ht="106.5">
      <c r="A27" s="39" t="s">
        <v>278</v>
      </c>
      <c r="B27" s="26" t="s">
        <v>279</v>
      </c>
      <c r="C27" s="27" t="s">
        <v>280</v>
      </c>
      <c r="D27" s="27" t="s">
        <v>281</v>
      </c>
      <c r="E27" s="27" t="s">
        <v>282</v>
      </c>
      <c r="F27" s="27" t="s">
        <v>283</v>
      </c>
      <c r="G27" s="27" t="s">
        <v>284</v>
      </c>
      <c r="H27" s="29">
        <v>4</v>
      </c>
      <c r="I27" s="30" t="str">
        <f t="shared" si="0"/>
        <v>أطبق جميع أنواع التقويم باستمرار ودقة لمعظم المتعلمين.
All assessment types are applied continuously and accurately for most learners.</v>
      </c>
      <c r="J27" s="30" t="str">
        <f>IF(OR($H27="",$H27&gt;3),"",COUNTIF($H$10:$H$33,"&lt;"&amp;$H27)+COUNTIF($H$10:$H27,$H27))</f>
        <v/>
      </c>
      <c r="K27" s="27" t="s">
        <v>285</v>
      </c>
      <c r="L27" s="31" t="s">
        <v>286</v>
      </c>
      <c r="M27" s="32" t="s">
        <v>287</v>
      </c>
      <c r="N27" s="32" t="s">
        <v>288</v>
      </c>
      <c r="O27" s="32" t="s">
        <v>289</v>
      </c>
      <c r="P27" s="32" t="s">
        <v>290</v>
      </c>
      <c r="Q27" s="32" t="s">
        <v>291</v>
      </c>
    </row>
    <row r="28" spans="1:17" ht="91.5">
      <c r="A28" s="50"/>
      <c r="B28" s="26" t="s">
        <v>292</v>
      </c>
      <c r="C28" s="27" t="s">
        <v>293</v>
      </c>
      <c r="D28" s="27" t="s">
        <v>294</v>
      </c>
      <c r="E28" s="27" t="s">
        <v>295</v>
      </c>
      <c r="F28" s="27" t="s">
        <v>296</v>
      </c>
      <c r="G28" s="27" t="s">
        <v>297</v>
      </c>
      <c r="H28" s="29">
        <v>4</v>
      </c>
      <c r="I28" s="30" t="str">
        <f t="shared" si="0"/>
        <v>أوظف أدوات متميزة ومتنوعة تقيس تقدم معظم المتعلمين بدقة.
Distinguished and varied tools accurately measure the progress of most learners.</v>
      </c>
      <c r="J28" s="30" t="str">
        <f>IF(OR($H28="",$H28&gt;3),"",COUNTIF($H$10:$H$33,"&lt;"&amp;$H28)+COUNTIF($H$10:$H28,$H28))</f>
        <v/>
      </c>
      <c r="K28" s="27" t="s">
        <v>298</v>
      </c>
      <c r="L28" s="31" t="s">
        <v>299</v>
      </c>
      <c r="M28" s="32" t="s">
        <v>300</v>
      </c>
      <c r="N28" s="32" t="s">
        <v>301</v>
      </c>
      <c r="O28" s="32" t="s">
        <v>302</v>
      </c>
      <c r="P28" s="32" t="s">
        <v>303</v>
      </c>
      <c r="Q28" s="32" t="s">
        <v>304</v>
      </c>
    </row>
    <row r="29" spans="1:17" ht="106.5">
      <c r="A29" s="50"/>
      <c r="B29" s="26" t="s">
        <v>305</v>
      </c>
      <c r="C29" s="27" t="s">
        <v>306</v>
      </c>
      <c r="D29" s="27" t="s">
        <v>307</v>
      </c>
      <c r="E29" s="27" t="s">
        <v>308</v>
      </c>
      <c r="F29" s="27" t="s">
        <v>309</v>
      </c>
      <c r="G29" s="27" t="s">
        <v>310</v>
      </c>
      <c r="H29" s="29">
        <v>5</v>
      </c>
      <c r="I29" s="30" t="str">
        <f t="shared" si="0"/>
        <v>أقدم تغذية راجعة عالية الأثر تنعكس بوضوح على أعمال جميع المتعلمين.
High-impact feedback is clearly reflected in all learners’ work.</v>
      </c>
      <c r="J29" s="30" t="str">
        <f>IF(OR($H29="",$H29&gt;3),"",COUNTIF($H$10:$H$33,"&lt;"&amp;$H29)+COUNTIF($H$10:$H29,$H29))</f>
        <v/>
      </c>
      <c r="K29" s="27" t="s">
        <v>311</v>
      </c>
      <c r="L29" s="31" t="s">
        <v>312</v>
      </c>
      <c r="M29" s="32" t="s">
        <v>313</v>
      </c>
      <c r="N29" s="32" t="s">
        <v>314</v>
      </c>
      <c r="O29" s="32" t="s">
        <v>315</v>
      </c>
      <c r="P29" s="32" t="s">
        <v>316</v>
      </c>
      <c r="Q29" s="32" t="s">
        <v>317</v>
      </c>
    </row>
    <row r="30" spans="1:17" ht="106.5">
      <c r="A30" s="51"/>
      <c r="B30" s="26" t="s">
        <v>318</v>
      </c>
      <c r="C30" s="27" t="s">
        <v>319</v>
      </c>
      <c r="D30" s="27" t="s">
        <v>320</v>
      </c>
      <c r="E30" s="27" t="s">
        <v>321</v>
      </c>
      <c r="F30" s="27" t="s">
        <v>322</v>
      </c>
      <c r="G30" s="27" t="s">
        <v>323</v>
      </c>
      <c r="H30" s="29">
        <v>5</v>
      </c>
      <c r="I30" s="30" t="str">
        <f t="shared" si="0"/>
        <v>أجعل التقييم الذاتي وتقييم الأقران ممارسة ثابتة وفاعلة لجميع المتعلمين.
Self- and peer assessment become consistent and effective practices for all learners.</v>
      </c>
      <c r="J30" s="30" t="str">
        <f>IF(OR($H30="",$H30&gt;3),"",COUNTIF($H$10:$H$33,"&lt;"&amp;$H30)+COUNTIF($H$10:$H30,$H30))</f>
        <v/>
      </c>
      <c r="K30" s="27" t="s">
        <v>324</v>
      </c>
      <c r="L30" s="31" t="s">
        <v>325</v>
      </c>
      <c r="M30" s="32" t="s">
        <v>326</v>
      </c>
      <c r="N30" s="32" t="s">
        <v>327</v>
      </c>
      <c r="O30" s="32" t="s">
        <v>328</v>
      </c>
      <c r="P30" s="32" t="s">
        <v>329</v>
      </c>
      <c r="Q30" s="32" t="s">
        <v>330</v>
      </c>
    </row>
    <row r="31" spans="1:17" ht="106.5">
      <c r="A31" s="39" t="s">
        <v>331</v>
      </c>
      <c r="B31" s="26" t="s">
        <v>332</v>
      </c>
      <c r="C31" s="27" t="s">
        <v>333</v>
      </c>
      <c r="D31" s="27" t="s">
        <v>334</v>
      </c>
      <c r="E31" s="27" t="s">
        <v>335</v>
      </c>
      <c r="F31" s="27" t="s">
        <v>336</v>
      </c>
      <c r="G31" s="27" t="s">
        <v>337</v>
      </c>
      <c r="H31" s="29">
        <v>5</v>
      </c>
      <c r="I31" s="30" t="str">
        <f t="shared" si="0"/>
        <v>أهيئ البيئة بصورة عالية الجودة ويظهر استعداد جميع المتعلمين للتعلم.
The environment is prepared with high quality and all learners show readiness to learn.</v>
      </c>
      <c r="J31" s="30" t="str">
        <f>IF(OR($H31="",$H31&gt;3),"",COUNTIF($H$10:$H$33,"&lt;"&amp;$H31)+COUNTIF($H$10:$H31,$H31))</f>
        <v/>
      </c>
      <c r="K31" s="27" t="s">
        <v>338</v>
      </c>
      <c r="L31" s="31" t="s">
        <v>339</v>
      </c>
      <c r="M31" s="32" t="s">
        <v>340</v>
      </c>
      <c r="N31" s="32" t="s">
        <v>341</v>
      </c>
      <c r="O31" s="32" t="s">
        <v>342</v>
      </c>
      <c r="P31" s="32" t="s">
        <v>343</v>
      </c>
      <c r="Q31" s="32" t="s">
        <v>344</v>
      </c>
    </row>
    <row r="32" spans="1:17" ht="106.5">
      <c r="A32" s="50"/>
      <c r="B32" s="26" t="s">
        <v>345</v>
      </c>
      <c r="C32" s="27" t="s">
        <v>346</v>
      </c>
      <c r="D32" s="27" t="s">
        <v>347</v>
      </c>
      <c r="E32" s="27" t="s">
        <v>348</v>
      </c>
      <c r="F32" s="27" t="s">
        <v>349</v>
      </c>
      <c r="G32" s="27" t="s">
        <v>350</v>
      </c>
      <c r="H32" s="29">
        <v>5</v>
      </c>
      <c r="I32" s="30" t="str">
        <f t="shared" si="0"/>
        <v>أحافظ على علاقات احترام وثقة وتواصل بناء ينعكس إيجابا على جميع المتعلمين ورفاهيتهم.
Respect, trust, and constructive communication positively affect all learners and their wellbeing.</v>
      </c>
      <c r="J32" s="30" t="str">
        <f>IF(OR($H32="",$H32&gt;3),"",COUNTIF($H$10:$H$33,"&lt;"&amp;$H32)+COUNTIF($H$10:$H32,$H32))</f>
        <v/>
      </c>
      <c r="K32" s="27" t="s">
        <v>351</v>
      </c>
      <c r="L32" s="31" t="s">
        <v>352</v>
      </c>
      <c r="M32" s="32" t="s">
        <v>353</v>
      </c>
      <c r="N32" s="32" t="s">
        <v>354</v>
      </c>
      <c r="O32" s="32" t="s">
        <v>355</v>
      </c>
      <c r="P32" s="32" t="s">
        <v>356</v>
      </c>
      <c r="Q32" s="32" t="s">
        <v>357</v>
      </c>
    </row>
    <row r="33" spans="1:17" ht="106.5">
      <c r="A33" s="51"/>
      <c r="B33" s="26" t="s">
        <v>358</v>
      </c>
      <c r="C33" s="27" t="s">
        <v>359</v>
      </c>
      <c r="D33" s="27" t="s">
        <v>360</v>
      </c>
      <c r="E33" s="27" t="s">
        <v>361</v>
      </c>
      <c r="F33" s="27" t="s">
        <v>362</v>
      </c>
      <c r="G33" s="27" t="s">
        <v>363</v>
      </c>
      <c r="H33" s="29">
        <v>5</v>
      </c>
      <c r="I33" s="30" t="str">
        <f t="shared" si="0"/>
        <v>أوظف أساليب عالية التأثير تعزز الدافعية والمسؤولية والتنافس الإيجابي لدى الجميع.
High-impact methods enhance motivation, responsibility, and positive competition among all.</v>
      </c>
      <c r="J33" s="30" t="str">
        <f>IF(OR($H33="",$H33&gt;3),"",COUNTIF($H$10:$H$33,"&lt;"&amp;$H33)+COUNTIF($H$10:$H33,$H33))</f>
        <v/>
      </c>
      <c r="K33" s="27" t="s">
        <v>364</v>
      </c>
      <c r="L33" s="31" t="s">
        <v>365</v>
      </c>
      <c r="M33" s="32" t="s">
        <v>366</v>
      </c>
      <c r="N33" s="32" t="s">
        <v>367</v>
      </c>
      <c r="O33" s="32" t="s">
        <v>368</v>
      </c>
      <c r="P33" s="32" t="s">
        <v>369</v>
      </c>
      <c r="Q33" s="32" t="s">
        <v>370</v>
      </c>
    </row>
  </sheetData>
  <sheetProtection algorithmName="SHA-512" hashValue="VVCeEgc39dHVFob6Sg9YitvN8ZGY9QAjpCax04wCTLyAY1M6UfAcJwXbug3RN7UVpG9QtfmSbrCcwVxySFaoOw==" saltValue="e0XpKJyp9+u6XHjdtCK91g==" spinCount="100000" sheet="1" formatCells="0"/>
  <protectedRanges>
    <protectedRange sqref="H10:H33" name="Range2_1"/>
    <protectedRange sqref="B5:B7 E5:E7 H5:H7 L5:L7" name="Range1_1"/>
    <protectedRange sqref="L10:L33" name="Range3"/>
  </protectedRanges>
  <mergeCells count="8">
    <mergeCell ref="A24:A26"/>
    <mergeCell ref="A27:A30"/>
    <mergeCell ref="A31:A33"/>
    <mergeCell ref="A1:L1"/>
    <mergeCell ref="A2:L2"/>
    <mergeCell ref="A10:A12"/>
    <mergeCell ref="A13:A20"/>
    <mergeCell ref="A21:A23"/>
  </mergeCells>
  <conditionalFormatting sqref="H10:H33">
    <cfRule type="expression" dxfId="3" priority="1">
      <formula>H10=5</formula>
    </cfRule>
    <cfRule type="expression" dxfId="2" priority="2">
      <formula>H10=4</formula>
    </cfRule>
    <cfRule type="expression" dxfId="1" priority="3">
      <formula>H10=3</formula>
    </cfRule>
    <cfRule type="expression" dxfId="0" priority="4">
      <formula>H10&lt;=2</formula>
    </cfRule>
  </conditionalFormatting>
  <dataValidations count="1">
    <dataValidation type="whole" allowBlank="1" error="القيمة يجب أن تكون من 1 إلى 5" prompt="اختر رقما من 1 إلى 5" sqref="H10:H33" xr:uid="{368116DA-29F9-4727-B581-A4985D2F8B00}">
      <formula1>1</formula1>
      <formula2>5</formula2>
    </dataValidation>
  </dataValidations>
  <hyperlinks>
    <hyperlink ref="B5" r:id="rId1" display="Huaizhi.Xue@" xr:uid="{A9A0ABDE-C6B8-4407-BB86-F80F3BD9B914}"/>
  </hyperlinks>
  <pageMargins left="0.7" right="0.7" top="0.75" bottom="0.75" header="0.3" footer="0.3"/>
  <pageSetup paperSize="9" scale="16" orientation="landscape" r:id="rId2"/>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5"/>
  <sheetViews>
    <sheetView rightToLeft="1" topLeftCell="A14" workbookViewId="0">
      <selection activeCell="O14" sqref="O14"/>
    </sheetView>
  </sheetViews>
  <sheetFormatPr defaultRowHeight="15"/>
  <cols>
    <col min="2" max="2" width="26" bestFit="1" customWidth="1"/>
    <col min="3" max="3" width="11" bestFit="1" customWidth="1"/>
    <col min="4" max="4" width="5" customWidth="1"/>
    <col min="5" max="5" width="22.28515625" bestFit="1" customWidth="1"/>
    <col min="6" max="6" width="11.42578125" bestFit="1" customWidth="1"/>
    <col min="7" max="7" width="14" bestFit="1" customWidth="1"/>
    <col min="8" max="8" width="10.85546875" customWidth="1"/>
  </cols>
  <sheetData>
    <row r="1" spans="1:9" s="6" customFormat="1" ht="136.5" customHeight="1">
      <c r="A1" s="40" t="s">
        <v>371</v>
      </c>
      <c r="B1" s="40"/>
      <c r="C1" s="40"/>
      <c r="D1" s="40"/>
      <c r="E1" s="40"/>
      <c r="F1" s="40"/>
      <c r="G1" s="40"/>
      <c r="H1" s="40"/>
      <c r="I1" s="40"/>
    </row>
    <row r="2" spans="1:9" ht="36">
      <c r="B2" s="18" t="s">
        <v>13</v>
      </c>
      <c r="C2" s="18" t="s">
        <v>15</v>
      </c>
      <c r="D2" s="34"/>
      <c r="E2" s="18" t="s">
        <v>14</v>
      </c>
      <c r="F2" s="18" t="s">
        <v>16</v>
      </c>
      <c r="G2" s="18" t="s">
        <v>372</v>
      </c>
      <c r="H2" s="23" t="s">
        <v>37</v>
      </c>
    </row>
    <row r="3" spans="1:9">
      <c r="B3" s="14" t="str">
        <f>التقييم!B5</f>
        <v>رشا احمد محمود عبدالسلام</v>
      </c>
      <c r="C3" s="14">
        <f>التقييم!B7</f>
        <v>282439</v>
      </c>
      <c r="D3" s="13"/>
      <c r="E3" s="14" t="str">
        <f>التقييم!B6</f>
        <v>الفنون البصرية</v>
      </c>
      <c r="F3" s="14" t="str">
        <f>التقييم!E6</f>
        <v>13/5/2026</v>
      </c>
      <c r="G3" s="14" t="str">
        <f>التقييم!E5</f>
        <v>ثامن متقدم</v>
      </c>
      <c r="H3" s="14" t="str">
        <f>التقييم!E7</f>
        <v>الثانية</v>
      </c>
    </row>
    <row r="5" spans="1:9" ht="36">
      <c r="B5" s="35" t="s">
        <v>373</v>
      </c>
      <c r="C5" s="4" t="s">
        <v>374</v>
      </c>
      <c r="E5" s="35" t="s">
        <v>41</v>
      </c>
      <c r="F5" s="35" t="s">
        <v>375</v>
      </c>
      <c r="G5" s="35" t="s">
        <v>376</v>
      </c>
    </row>
    <row r="6" spans="1:9" ht="36">
      <c r="B6" s="38" t="s">
        <v>377</v>
      </c>
      <c r="C6" s="10">
        <f>التقييم!E3</f>
        <v>4.63</v>
      </c>
      <c r="E6" s="38" t="s">
        <v>378</v>
      </c>
      <c r="F6" s="10">
        <f>IF(COUNT(التقييم!H10:H12)=0,"",ROUND(SUM(التقييم!H10:H12)/COUNT(التقييم!H10:H12),2))</f>
        <v>5</v>
      </c>
      <c r="G6" s="12" t="str">
        <f>IF(F6="","",IF(F6&gt;=4.3,"Exceeds Expectations",IF(F6&gt;=3.5,"Good",IF(F6&gt;=2.5,"Low","Needs Improvement"))))</f>
        <v>Exceeds Expectations</v>
      </c>
    </row>
    <row r="7" spans="1:9" ht="36">
      <c r="B7" s="38" t="s">
        <v>25</v>
      </c>
      <c r="C7" s="9" t="str">
        <f>التقييم!G3</f>
        <v>جيد جدا
Very Good</v>
      </c>
      <c r="E7" s="38" t="s">
        <v>93</v>
      </c>
      <c r="F7" s="10">
        <f>IF(COUNT(التقييم!H13:H20)=0,"",ROUND(SUM(التقييم!H13:H20)/COUNT(التقييم!H13:H20),2))</f>
        <v>4.5</v>
      </c>
      <c r="G7" s="12" t="str">
        <f t="shared" ref="G7:G11" si="0">IF(F7="","",IF(F7&gt;=4.3,"Exceeds Expectations",IF(F7&gt;=3.5,"Good",IF(F7&gt;=2.5,"Low","Needs Improvement"))))</f>
        <v>Exceeds Expectations</v>
      </c>
    </row>
    <row r="8" spans="1:9" ht="36">
      <c r="B8" s="38" t="s">
        <v>379</v>
      </c>
      <c r="C8" s="9">
        <f>التقييم!I3</f>
        <v>0</v>
      </c>
      <c r="E8" s="38" t="s">
        <v>198</v>
      </c>
      <c r="F8" s="10">
        <f>IF(COUNT(التقييم!H21:H23)=0,"",ROUND(SUM(التقييم!H21:H23)/COUNT(التقييم!H21:H23),2))</f>
        <v>4.33</v>
      </c>
      <c r="G8" s="12" t="str">
        <f t="shared" si="0"/>
        <v>Exceeds Expectations</v>
      </c>
    </row>
    <row r="9" spans="1:9" ht="36">
      <c r="B9" s="38" t="s">
        <v>380</v>
      </c>
      <c r="C9" s="11">
        <f>IF(COUNT(التقييم!H10:H33)=0,"",ROUND(COUNTIFS(التقييم!H10:H33,"&gt;=4",التقييم!H10:H33,"&lt;=5")/COUNT(التقييم!H10:H33),2))</f>
        <v>1</v>
      </c>
      <c r="E9" s="38" t="s">
        <v>238</v>
      </c>
      <c r="F9" s="10">
        <f>IF(COUNT(التقييم!H24:H26)=0,"",ROUND(SUM(التقييم!H24:H26)/COUNT(التقييم!H24:H26),2))</f>
        <v>4.67</v>
      </c>
      <c r="G9" s="12" t="str">
        <f t="shared" si="0"/>
        <v>Exceeds Expectations</v>
      </c>
    </row>
    <row r="10" spans="1:9" ht="27.75">
      <c r="E10" s="38" t="s">
        <v>278</v>
      </c>
      <c r="F10" s="10">
        <f>IF(COUNT(التقييم!H27:H30)=0,"",ROUND(SUM(التقييم!H27:H30)/COUNT(التقييم!H27:H30),2))</f>
        <v>4.5</v>
      </c>
      <c r="G10" s="12" t="str">
        <f t="shared" si="0"/>
        <v>Exceeds Expectations</v>
      </c>
    </row>
    <row r="11" spans="1:9" ht="27.75">
      <c r="E11" s="38" t="s">
        <v>331</v>
      </c>
      <c r="F11" s="10">
        <f>IF(COUNT(التقييم!H31:H33)=0,"",ROUND(SUM(التقييم!H31:H33)/COUNT(التقييم!H31:H33),2))</f>
        <v>5</v>
      </c>
      <c r="G11" s="12" t="str">
        <f t="shared" si="0"/>
        <v>Exceeds Expectations</v>
      </c>
    </row>
    <row r="14" spans="1:9" ht="318" customHeight="1">
      <c r="B14" s="18" t="s">
        <v>381</v>
      </c>
      <c r="C14" s="45" t="s">
        <v>382</v>
      </c>
      <c r="D14" s="46"/>
      <c r="E14" s="46"/>
      <c r="F14" s="46"/>
      <c r="G14" s="46"/>
      <c r="H14" s="47"/>
    </row>
    <row r="15" spans="1:9" ht="244.5" customHeight="1">
      <c r="B15" s="18" t="s">
        <v>383</v>
      </c>
      <c r="C15" s="45" t="s">
        <v>384</v>
      </c>
      <c r="D15" s="46"/>
      <c r="E15" s="46"/>
      <c r="F15" s="46"/>
      <c r="G15" s="46"/>
      <c r="H15" s="47"/>
    </row>
  </sheetData>
  <sheetProtection algorithmName="SHA-512" hashValue="RIR+SBmWLdMEkve+OsHezEoNA7vV5Z+25+9FKDLf5KJ34zQkUzUQgAd2mq81sAsWE3emu5uH4L6t3L4l8reigA==" saltValue="Bd8ioGgzry9RHREOwMsp5A==" spinCount="100000" sheet="1" objects="1" scenarios="1"/>
  <mergeCells count="3">
    <mergeCell ref="C14:H14"/>
    <mergeCell ref="C15:H15"/>
    <mergeCell ref="A1:I1"/>
  </mergeCells>
  <pageMargins left="0.7" right="0.7" top="0.75" bottom="0.75" header="0.3" footer="0.3"/>
  <pageSetup paperSize="9" scale="76"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3"/>
  <sheetViews>
    <sheetView rightToLeft="1" topLeftCell="A3" workbookViewId="0">
      <selection activeCell="D8" sqref="D8"/>
    </sheetView>
  </sheetViews>
  <sheetFormatPr defaultRowHeight="15"/>
  <cols>
    <col min="1" max="1" width="19.7109375" customWidth="1"/>
    <col min="2" max="2" width="36" customWidth="1"/>
    <col min="3" max="3" width="11" customWidth="1"/>
    <col min="4" max="4" width="40" customWidth="1"/>
    <col min="5" max="5" width="42" customWidth="1"/>
    <col min="6" max="6" width="16" customWidth="1"/>
    <col min="7" max="7" width="27" customWidth="1"/>
  </cols>
  <sheetData>
    <row r="1" spans="1:8" s="6" customFormat="1" ht="136.5" customHeight="1">
      <c r="A1" s="40" t="s">
        <v>385</v>
      </c>
      <c r="B1" s="40"/>
      <c r="C1" s="40"/>
      <c r="D1" s="40"/>
      <c r="E1" s="40"/>
      <c r="F1" s="40"/>
      <c r="G1" s="40"/>
      <c r="H1" s="7"/>
    </row>
    <row r="2" spans="1:8" ht="24.75">
      <c r="A2" s="18" t="s">
        <v>13</v>
      </c>
      <c r="B2" s="18" t="s">
        <v>15</v>
      </c>
      <c r="C2" s="34"/>
      <c r="D2" s="18" t="s">
        <v>14</v>
      </c>
      <c r="E2" s="18" t="s">
        <v>16</v>
      </c>
      <c r="F2" s="18" t="s">
        <v>372</v>
      </c>
      <c r="G2" s="18" t="s">
        <v>37</v>
      </c>
    </row>
    <row r="3" spans="1:8">
      <c r="A3" s="14" t="str">
        <f>التقييم!B5</f>
        <v>رشا احمد محمود عبدالسلام</v>
      </c>
      <c r="B3" s="14">
        <f>التقييم!B7</f>
        <v>282439</v>
      </c>
      <c r="C3" s="13"/>
      <c r="D3" s="14" t="str">
        <f>التقييم!B6</f>
        <v>الفنون البصرية</v>
      </c>
      <c r="E3" s="14" t="str">
        <f>التقييم!E6</f>
        <v>13/5/2026</v>
      </c>
      <c r="F3" s="14" t="str">
        <f>التقييم!E5</f>
        <v>ثامن متقدم</v>
      </c>
      <c r="G3" s="14" t="str">
        <f>التحليل!H3</f>
        <v>الثانية</v>
      </c>
    </row>
    <row r="5" spans="1:8" ht="24.75">
      <c r="A5" s="35" t="s">
        <v>386</v>
      </c>
      <c r="B5" s="35" t="s">
        <v>42</v>
      </c>
      <c r="C5" s="35" t="s">
        <v>387</v>
      </c>
      <c r="D5" s="35" t="s">
        <v>388</v>
      </c>
      <c r="E5" s="35" t="s">
        <v>389</v>
      </c>
      <c r="F5" s="35" t="s">
        <v>390</v>
      </c>
      <c r="G5" s="35" t="s">
        <v>391</v>
      </c>
    </row>
    <row r="6" spans="1:8" ht="24.75">
      <c r="A6" s="35" t="s">
        <v>392</v>
      </c>
      <c r="B6" s="8" t="str">
        <f>IF(ROWS($A$6:A6)&gt;COUNT(التقييم!$J$10:$J$33),"",INDEX(التقييم!$B$10:$B$33,MATCH(ROWS($A$6:A6),التقييم!$J$10:$J$33,0)))</f>
        <v/>
      </c>
      <c r="C6" s="9" t="str">
        <f>IF($B6="","",INDEX(التقييم!$H$10:$H$33,MATCH(ROWS($A$6:A6),التقييم!$J$10:$J$33,0)))</f>
        <v/>
      </c>
      <c r="D6" s="2" t="str">
        <f>IF($B6="","",IFERROR(VLOOKUP($B6,'بيانات مساعدة'!$A$2:$C$25,2,FALSE),""))</f>
        <v/>
      </c>
      <c r="E6" s="2" t="str">
        <f>IF($B6="","",IFERROR(VLOOKUP($B6,'بيانات مساعدة'!$A$2:$C$25,3,FALSE),""))</f>
        <v/>
      </c>
      <c r="F6" s="3" t="str">
        <f>IF($B6="","","4 weeks")</f>
        <v/>
      </c>
      <c r="G6" s="2" t="str">
        <f>IF($B6="","","The indicator improved to level 4 or above in the subsequent visit")</f>
        <v/>
      </c>
    </row>
    <row r="7" spans="1:8" ht="24.75">
      <c r="A7" s="35" t="s">
        <v>393</v>
      </c>
      <c r="B7" s="8" t="str">
        <f>IF(ROWS($A$6:A7)&gt;COUNT(التقييم!$J$10:$J$33),"",INDEX(التقييم!$B$10:$B$33,MATCH(ROWS($A$6:A7),التقييم!$J$10:$J$33,0)))</f>
        <v/>
      </c>
      <c r="C7" s="9" t="str">
        <f>IF($B7="","",INDEX(التقييم!$H$10:$H$33,MATCH(ROWS($A$6:A7),التقييم!$J$10:$J$33,0)))</f>
        <v/>
      </c>
      <c r="D7" s="2" t="str">
        <f>IF($B7="","",IFERROR(VLOOKUP($B7,'بيانات مساعدة'!$A$2:$C$25,2,FALSE),""))</f>
        <v/>
      </c>
      <c r="E7" s="2" t="str">
        <f>IF($B7="","",IFERROR(VLOOKUP($B7,'بيانات مساعدة'!$A$2:$C$25,3,FALSE),""))</f>
        <v/>
      </c>
      <c r="F7" s="3" t="str">
        <f t="shared" ref="F7:F29" si="0">IF($B7="","","4 weeks")</f>
        <v/>
      </c>
      <c r="G7" s="2" t="str">
        <f t="shared" ref="G7:G29" si="1">IF($B7="","","The indicator improved to level 4 or above in the subsequent visit")</f>
        <v/>
      </c>
    </row>
    <row r="8" spans="1:8" ht="24.75">
      <c r="A8" s="35" t="s">
        <v>394</v>
      </c>
      <c r="B8" s="8" t="str">
        <f>IF(ROWS($A$6:A8)&gt;COUNT(التقييم!$J$10:$J$33),"",INDEX(التقييم!$B$10:$B$33,MATCH(ROWS($A$6:A8),التقييم!$J$10:$J$33,0)))</f>
        <v/>
      </c>
      <c r="C8" s="9" t="str">
        <f>IF($B8="","",INDEX(التقييم!$H$10:$H$33,MATCH(ROWS($A$6:A8),التقييم!$J$10:$J$33,0)))</f>
        <v/>
      </c>
      <c r="D8" s="2" t="str">
        <f>IF($B8="","",IFERROR(VLOOKUP($B8,'بيانات مساعدة'!$A$2:$C$25,2,FALSE),""))</f>
        <v/>
      </c>
      <c r="E8" s="2" t="str">
        <f>IF($B8="","",IFERROR(VLOOKUP($B8,'بيانات مساعدة'!$A$2:$C$25,3,FALSE),""))</f>
        <v/>
      </c>
      <c r="F8" s="3" t="str">
        <f t="shared" si="0"/>
        <v/>
      </c>
      <c r="G8" s="2" t="str">
        <f t="shared" si="1"/>
        <v/>
      </c>
    </row>
    <row r="9" spans="1:8" ht="24.75">
      <c r="A9" s="35" t="s">
        <v>395</v>
      </c>
      <c r="B9" s="8" t="str">
        <f>IF(ROWS($A$6:A9)&gt;COUNT(التقييم!$J$10:$J$33),"",INDEX(التقييم!$B$10:$B$33,MATCH(ROWS($A$6:A9),التقييم!$J$10:$J$33,0)))</f>
        <v/>
      </c>
      <c r="C9" s="9" t="str">
        <f>IF($B9="","",INDEX(التقييم!$H$10:$H$33,MATCH(ROWS($A$6:A9),التقييم!$J$10:$J$33,0)))</f>
        <v/>
      </c>
      <c r="D9" s="2" t="str">
        <f>IF($B9="","",IFERROR(VLOOKUP($B9,'بيانات مساعدة'!$A$2:$C$25,2,FALSE),""))</f>
        <v/>
      </c>
      <c r="E9" s="2" t="str">
        <f>IF($B9="","",IFERROR(VLOOKUP($B9,'بيانات مساعدة'!$A$2:$C$25,3,FALSE),""))</f>
        <v/>
      </c>
      <c r="F9" s="3" t="str">
        <f t="shared" si="0"/>
        <v/>
      </c>
      <c r="G9" s="2" t="str">
        <f t="shared" si="1"/>
        <v/>
      </c>
    </row>
    <row r="10" spans="1:8" ht="24.75">
      <c r="A10" s="35" t="s">
        <v>396</v>
      </c>
      <c r="B10" s="8" t="str">
        <f>IF(ROWS($A$6:A10)&gt;COUNT(التقييم!$J$10:$J$33),"",INDEX(التقييم!$B$10:$B$33,MATCH(ROWS($A$6:A10),التقييم!$J$10:$J$33,0)))</f>
        <v/>
      </c>
      <c r="C10" s="9" t="str">
        <f>IF($B10="","",INDEX(التقييم!$H$10:$H$33,MATCH(ROWS($A$6:A10),التقييم!$J$10:$J$33,0)))</f>
        <v/>
      </c>
      <c r="D10" s="2" t="str">
        <f>IF($B10="","",IFERROR(VLOOKUP($B10,'بيانات مساعدة'!$A$2:$C$25,2,FALSE),""))</f>
        <v/>
      </c>
      <c r="E10" s="2" t="str">
        <f>IF($B10="","",IFERROR(VLOOKUP($B10,'بيانات مساعدة'!$A$2:$C$25,3,FALSE),""))</f>
        <v/>
      </c>
      <c r="F10" s="3" t="str">
        <f t="shared" si="0"/>
        <v/>
      </c>
      <c r="G10" s="2" t="str">
        <f t="shared" si="1"/>
        <v/>
      </c>
    </row>
    <row r="11" spans="1:8" ht="24.75">
      <c r="A11" s="35" t="s">
        <v>397</v>
      </c>
      <c r="B11" s="8" t="str">
        <f>IF(ROWS($A$6:A11)&gt;COUNT(التقييم!$J$10:$J$33),"",INDEX(التقييم!$B$10:$B$33,MATCH(ROWS($A$6:A11),التقييم!$J$10:$J$33,0)))</f>
        <v/>
      </c>
      <c r="C11" s="9" t="str">
        <f>IF($B11="","",INDEX(التقييم!$H$10:$H$33,MATCH(ROWS($A$6:A11),التقييم!$J$10:$J$33,0)))</f>
        <v/>
      </c>
      <c r="D11" s="2" t="str">
        <f>IF($B11="","",IFERROR(VLOOKUP($B11,'بيانات مساعدة'!$A$2:$C$25,2,FALSE),""))</f>
        <v/>
      </c>
      <c r="E11" s="2" t="str">
        <f>IF($B11="","",IFERROR(VLOOKUP($B11,'بيانات مساعدة'!$A$2:$C$25,3,FALSE),""))</f>
        <v/>
      </c>
      <c r="F11" s="3" t="str">
        <f t="shared" si="0"/>
        <v/>
      </c>
      <c r="G11" s="2" t="str">
        <f t="shared" si="1"/>
        <v/>
      </c>
    </row>
    <row r="12" spans="1:8" ht="24.75">
      <c r="A12" s="35" t="s">
        <v>398</v>
      </c>
      <c r="B12" s="8" t="str">
        <f>IF(ROWS($A$6:A12)&gt;COUNT(التقييم!$J$10:$J$33),"",INDEX(التقييم!$B$10:$B$33,MATCH(ROWS($A$6:A12),التقييم!$J$10:$J$33,0)))</f>
        <v/>
      </c>
      <c r="C12" s="9" t="str">
        <f>IF($B12="","",INDEX(التقييم!$H$10:$H$33,MATCH(ROWS($A$6:A12),التقييم!$J$10:$J$33,0)))</f>
        <v/>
      </c>
      <c r="D12" s="2" t="str">
        <f>IF($B12="","",IFERROR(VLOOKUP($B12,'بيانات مساعدة'!$A$2:$C$25,2,FALSE),""))</f>
        <v/>
      </c>
      <c r="E12" s="2" t="str">
        <f>IF($B12="","",IFERROR(VLOOKUP($B12,'بيانات مساعدة'!$A$2:$C$25,3,FALSE),""))</f>
        <v/>
      </c>
      <c r="F12" s="3" t="str">
        <f t="shared" si="0"/>
        <v/>
      </c>
      <c r="G12" s="2" t="str">
        <f t="shared" si="1"/>
        <v/>
      </c>
    </row>
    <row r="13" spans="1:8" ht="24.75">
      <c r="A13" s="35" t="s">
        <v>399</v>
      </c>
      <c r="B13" s="8" t="str">
        <f>IF(ROWS($A$6:A13)&gt;COUNT(التقييم!$J$10:$J$33),"",INDEX(التقييم!$B$10:$B$33,MATCH(ROWS($A$6:A13),التقييم!$J$10:$J$33,0)))</f>
        <v/>
      </c>
      <c r="C13" s="9" t="str">
        <f>IF($B13="","",INDEX(التقييم!$H$10:$H$33,MATCH(ROWS($A$6:A13),التقييم!$J$10:$J$33,0)))</f>
        <v/>
      </c>
      <c r="D13" s="2" t="str">
        <f>IF($B13="","",IFERROR(VLOOKUP($B13,'بيانات مساعدة'!$A$2:$C$25,2,FALSE),""))</f>
        <v/>
      </c>
      <c r="E13" s="2" t="str">
        <f>IF($B13="","",IFERROR(VLOOKUP($B13,'بيانات مساعدة'!$A$2:$C$25,3,FALSE),""))</f>
        <v/>
      </c>
      <c r="F13" s="3" t="str">
        <f t="shared" si="0"/>
        <v/>
      </c>
      <c r="G13" s="2" t="str">
        <f t="shared" si="1"/>
        <v/>
      </c>
    </row>
    <row r="14" spans="1:8" ht="24.75">
      <c r="A14" s="35" t="s">
        <v>400</v>
      </c>
      <c r="B14" s="8" t="str">
        <f>IF(ROWS($A$6:A14)&gt;COUNT(التقييم!$J$10:$J$33),"",INDEX(التقييم!$B$10:$B$33,MATCH(ROWS($A$6:A14),التقييم!$J$10:$J$33,0)))</f>
        <v/>
      </c>
      <c r="C14" s="9" t="str">
        <f>IF($B14="","",INDEX(التقييم!$H$10:$H$33,MATCH(ROWS($A$6:A14),التقييم!$J$10:$J$33,0)))</f>
        <v/>
      </c>
      <c r="D14" s="2" t="str">
        <f>IF($B14="","",IFERROR(VLOOKUP($B14,'بيانات مساعدة'!$A$2:$C$25,2,FALSE),""))</f>
        <v/>
      </c>
      <c r="E14" s="2" t="str">
        <f>IF($B14="","",IFERROR(VLOOKUP($B14,'بيانات مساعدة'!$A$2:$C$25,3,FALSE),""))</f>
        <v/>
      </c>
      <c r="F14" s="3" t="str">
        <f t="shared" si="0"/>
        <v/>
      </c>
      <c r="G14" s="2" t="str">
        <f t="shared" si="1"/>
        <v/>
      </c>
    </row>
    <row r="15" spans="1:8" ht="24.75">
      <c r="A15" s="35" t="s">
        <v>401</v>
      </c>
      <c r="B15" s="8" t="str">
        <f>IF(ROWS($A$6:A15)&gt;COUNT(التقييم!$J$10:$J$33),"",INDEX(التقييم!$B$10:$B$33,MATCH(ROWS($A$6:A15),التقييم!$J$10:$J$33,0)))</f>
        <v/>
      </c>
      <c r="C15" s="9" t="str">
        <f>IF($B15="","",INDEX(التقييم!$H$10:$H$33,MATCH(ROWS($A$6:A15),التقييم!$J$10:$J$33,0)))</f>
        <v/>
      </c>
      <c r="D15" s="2" t="str">
        <f>IF($B15="","",IFERROR(VLOOKUP($B15,'بيانات مساعدة'!$A$2:$C$25,2,FALSE),""))</f>
        <v/>
      </c>
      <c r="E15" s="2" t="str">
        <f>IF($B15="","",IFERROR(VLOOKUP($B15,'بيانات مساعدة'!$A$2:$C$25,3,FALSE),""))</f>
        <v/>
      </c>
      <c r="F15" s="3" t="str">
        <f t="shared" si="0"/>
        <v/>
      </c>
      <c r="G15" s="2" t="str">
        <f t="shared" si="1"/>
        <v/>
      </c>
    </row>
    <row r="16" spans="1:8" ht="24.75">
      <c r="A16" s="35" t="s">
        <v>402</v>
      </c>
      <c r="B16" s="8" t="str">
        <f>IF(ROWS($A$6:A16)&gt;COUNT(التقييم!$J$10:$J$33),"",INDEX(التقييم!$B$10:$B$33,MATCH(ROWS($A$6:A16),التقييم!$J$10:$J$33,0)))</f>
        <v/>
      </c>
      <c r="C16" s="9" t="str">
        <f>IF($B16="","",INDEX(التقييم!$H$10:$H$33,MATCH(ROWS($A$6:A16),التقييم!$J$10:$J$33,0)))</f>
        <v/>
      </c>
      <c r="D16" s="2" t="str">
        <f>IF($B16="","",IFERROR(VLOOKUP($B16,'بيانات مساعدة'!$A$2:$C$25,2,FALSE),""))</f>
        <v/>
      </c>
      <c r="E16" s="2" t="str">
        <f>IF($B16="","",IFERROR(VLOOKUP($B16,'بيانات مساعدة'!$A$2:$C$25,3,FALSE),""))</f>
        <v/>
      </c>
      <c r="F16" s="3" t="str">
        <f t="shared" si="0"/>
        <v/>
      </c>
      <c r="G16" s="2" t="str">
        <f t="shared" si="1"/>
        <v/>
      </c>
    </row>
    <row r="17" spans="1:7" ht="24.75">
      <c r="A17" s="35" t="s">
        <v>403</v>
      </c>
      <c r="B17" s="8" t="str">
        <f>IF(ROWS($A$6:A17)&gt;COUNT(التقييم!$J$10:$J$33),"",INDEX(التقييم!$B$10:$B$33,MATCH(ROWS($A$6:A17),التقييم!$J$10:$J$33,0)))</f>
        <v/>
      </c>
      <c r="C17" s="9" t="str">
        <f>IF($B17="","",INDEX(التقييم!$H$10:$H$33,MATCH(ROWS($A$6:A17),التقييم!$J$10:$J$33,0)))</f>
        <v/>
      </c>
      <c r="D17" s="2" t="str">
        <f>IF($B17="","",IFERROR(VLOOKUP($B17,'بيانات مساعدة'!$A$2:$C$25,2,FALSE),""))</f>
        <v/>
      </c>
      <c r="E17" s="2" t="str">
        <f>IF($B17="","",IFERROR(VLOOKUP($B17,'بيانات مساعدة'!$A$2:$C$25,3,FALSE),""))</f>
        <v/>
      </c>
      <c r="F17" s="3" t="str">
        <f t="shared" si="0"/>
        <v/>
      </c>
      <c r="G17" s="2" t="str">
        <f t="shared" si="1"/>
        <v/>
      </c>
    </row>
    <row r="18" spans="1:7" ht="24.75">
      <c r="A18" s="35" t="s">
        <v>404</v>
      </c>
      <c r="B18" s="8" t="str">
        <f>IF(ROWS($A$6:A18)&gt;COUNT(التقييم!$J$10:$J$33),"",INDEX(التقييم!$B$10:$B$33,MATCH(ROWS($A$6:A18),التقييم!$J$10:$J$33,0)))</f>
        <v/>
      </c>
      <c r="C18" s="9" t="str">
        <f>IF($B18="","",INDEX(التقييم!$H$10:$H$33,MATCH(ROWS($A$6:A18),التقييم!$J$10:$J$33,0)))</f>
        <v/>
      </c>
      <c r="D18" s="2" t="str">
        <f>IF($B18="","",IFERROR(VLOOKUP($B18,'بيانات مساعدة'!$A$2:$C$25,2,FALSE),""))</f>
        <v/>
      </c>
      <c r="E18" s="2" t="str">
        <f>IF($B18="","",IFERROR(VLOOKUP($B18,'بيانات مساعدة'!$A$2:$C$25,3,FALSE),""))</f>
        <v/>
      </c>
      <c r="F18" s="3" t="str">
        <f t="shared" si="0"/>
        <v/>
      </c>
      <c r="G18" s="2" t="str">
        <f t="shared" si="1"/>
        <v/>
      </c>
    </row>
    <row r="19" spans="1:7" ht="24.75">
      <c r="A19" s="35" t="s">
        <v>405</v>
      </c>
      <c r="B19" s="8" t="str">
        <f>IF(ROWS($A$6:A19)&gt;COUNT(التقييم!$J$10:$J$33),"",INDEX(التقييم!$B$10:$B$33,MATCH(ROWS($A$6:A19),التقييم!$J$10:$J$33,0)))</f>
        <v/>
      </c>
      <c r="C19" s="9" t="str">
        <f>IF($B19="","",INDEX(التقييم!$H$10:$H$33,MATCH(ROWS($A$6:A19),التقييم!$J$10:$J$33,0)))</f>
        <v/>
      </c>
      <c r="D19" s="2" t="str">
        <f>IF($B19="","",IFERROR(VLOOKUP($B19,'بيانات مساعدة'!$A$2:$C$25,2,FALSE),""))</f>
        <v/>
      </c>
      <c r="E19" s="2" t="str">
        <f>IF($B19="","",IFERROR(VLOOKUP($B19,'بيانات مساعدة'!$A$2:$C$25,3,FALSE),""))</f>
        <v/>
      </c>
      <c r="F19" s="3" t="str">
        <f t="shared" si="0"/>
        <v/>
      </c>
      <c r="G19" s="2" t="str">
        <f t="shared" si="1"/>
        <v/>
      </c>
    </row>
    <row r="20" spans="1:7" ht="24.75">
      <c r="A20" s="35" t="s">
        <v>406</v>
      </c>
      <c r="B20" s="8" t="str">
        <f>IF(ROWS($A$6:A20)&gt;COUNT(التقييم!$J$10:$J$33),"",INDEX(التقييم!$B$10:$B$33,MATCH(ROWS($A$6:A20),التقييم!$J$10:$J$33,0)))</f>
        <v/>
      </c>
      <c r="C20" s="9" t="str">
        <f>IF($B20="","",INDEX(التقييم!$H$10:$H$33,MATCH(ROWS($A$6:A20),التقييم!$J$10:$J$33,0)))</f>
        <v/>
      </c>
      <c r="D20" s="2" t="str">
        <f>IF($B20="","",IFERROR(VLOOKUP($B20,'بيانات مساعدة'!$A$2:$C$25,2,FALSE),""))</f>
        <v/>
      </c>
      <c r="E20" s="2" t="str">
        <f>IF($B20="","",IFERROR(VLOOKUP($B20,'بيانات مساعدة'!$A$2:$C$25,3,FALSE),""))</f>
        <v/>
      </c>
      <c r="F20" s="3" t="str">
        <f t="shared" si="0"/>
        <v/>
      </c>
      <c r="G20" s="2" t="str">
        <f t="shared" si="1"/>
        <v/>
      </c>
    </row>
    <row r="21" spans="1:7" ht="24.75">
      <c r="A21" s="35" t="s">
        <v>407</v>
      </c>
      <c r="B21" s="8" t="str">
        <f>IF(ROWS($A$6:A21)&gt;COUNT(التقييم!$J$10:$J$33),"",INDEX(التقييم!$B$10:$B$33,MATCH(ROWS($A$6:A21),التقييم!$J$10:$J$33,0)))</f>
        <v/>
      </c>
      <c r="C21" s="9" t="str">
        <f>IF($B21="","",INDEX(التقييم!$H$10:$H$33,MATCH(ROWS($A$6:A21),التقييم!$J$10:$J$33,0)))</f>
        <v/>
      </c>
      <c r="D21" s="2" t="str">
        <f>IF($B21="","",IFERROR(VLOOKUP($B21,'بيانات مساعدة'!$A$2:$C$25,2,FALSE),""))</f>
        <v/>
      </c>
      <c r="E21" s="2" t="str">
        <f>IF($B21="","",IFERROR(VLOOKUP($B21,'بيانات مساعدة'!$A$2:$C$25,3,FALSE),""))</f>
        <v/>
      </c>
      <c r="F21" s="3" t="str">
        <f t="shared" si="0"/>
        <v/>
      </c>
      <c r="G21" s="2" t="str">
        <f t="shared" si="1"/>
        <v/>
      </c>
    </row>
    <row r="22" spans="1:7" ht="24.75">
      <c r="A22" s="35" t="s">
        <v>408</v>
      </c>
      <c r="B22" s="8" t="str">
        <f>IF(ROWS($A$6:A22)&gt;COUNT(التقييم!$J$10:$J$33),"",INDEX(التقييم!$B$10:$B$33,MATCH(ROWS($A$6:A22),التقييم!$J$10:$J$33,0)))</f>
        <v/>
      </c>
      <c r="C22" s="9" t="str">
        <f>IF($B22="","",INDEX(التقييم!$H$10:$H$33,MATCH(ROWS($A$6:A22),التقييم!$J$10:$J$33,0)))</f>
        <v/>
      </c>
      <c r="D22" s="2" t="str">
        <f>IF($B22="","",IFERROR(VLOOKUP($B22,'بيانات مساعدة'!$A$2:$C$25,2,FALSE),""))</f>
        <v/>
      </c>
      <c r="E22" s="2" t="str">
        <f>IF($B22="","",IFERROR(VLOOKUP($B22,'بيانات مساعدة'!$A$2:$C$25,3,FALSE),""))</f>
        <v/>
      </c>
      <c r="F22" s="3" t="str">
        <f t="shared" si="0"/>
        <v/>
      </c>
      <c r="G22" s="2" t="str">
        <f t="shared" si="1"/>
        <v/>
      </c>
    </row>
    <row r="23" spans="1:7" ht="24.75">
      <c r="A23" s="35" t="s">
        <v>409</v>
      </c>
      <c r="B23" s="8" t="str">
        <f>IF(ROWS($A$6:A23)&gt;COUNT(التقييم!$J$10:$J$33),"",INDEX(التقييم!$B$10:$B$33,MATCH(ROWS($A$6:A23),التقييم!$J$10:$J$33,0)))</f>
        <v/>
      </c>
      <c r="C23" s="9" t="str">
        <f>IF($B23="","",INDEX(التقييم!$H$10:$H$33,MATCH(ROWS($A$6:A23),التقييم!$J$10:$J$33,0)))</f>
        <v/>
      </c>
      <c r="D23" s="2" t="str">
        <f>IF($B23="","",IFERROR(VLOOKUP($B23,'بيانات مساعدة'!$A$2:$C$25,2,FALSE),""))</f>
        <v/>
      </c>
      <c r="E23" s="2" t="str">
        <f>IF($B23="","",IFERROR(VLOOKUP($B23,'بيانات مساعدة'!$A$2:$C$25,3,FALSE),""))</f>
        <v/>
      </c>
      <c r="F23" s="3" t="str">
        <f t="shared" si="0"/>
        <v/>
      </c>
      <c r="G23" s="2" t="str">
        <f t="shared" si="1"/>
        <v/>
      </c>
    </row>
    <row r="24" spans="1:7" ht="24.75">
      <c r="A24" s="35" t="s">
        <v>410</v>
      </c>
      <c r="B24" s="8" t="str">
        <f>IF(ROWS($A$6:A24)&gt;COUNT(التقييم!$J$10:$J$33),"",INDEX(التقييم!$B$10:$B$33,MATCH(ROWS($A$6:A24),التقييم!$J$10:$J$33,0)))</f>
        <v/>
      </c>
      <c r="C24" s="9" t="str">
        <f>IF($B24="","",INDEX(التقييم!$H$10:$H$33,MATCH(ROWS($A$6:A24),التقييم!$J$10:$J$33,0)))</f>
        <v/>
      </c>
      <c r="D24" s="2" t="str">
        <f>IF($B24="","",IFERROR(VLOOKUP($B24,'بيانات مساعدة'!$A$2:$C$25,2,FALSE),""))</f>
        <v/>
      </c>
      <c r="E24" s="2" t="str">
        <f>IF($B24="","",IFERROR(VLOOKUP($B24,'بيانات مساعدة'!$A$2:$C$25,3,FALSE),""))</f>
        <v/>
      </c>
      <c r="F24" s="3" t="str">
        <f t="shared" si="0"/>
        <v/>
      </c>
      <c r="G24" s="2" t="str">
        <f t="shared" si="1"/>
        <v/>
      </c>
    </row>
    <row r="25" spans="1:7" ht="24.75">
      <c r="A25" s="35" t="s">
        <v>411</v>
      </c>
      <c r="B25" s="8" t="str">
        <f>IF(ROWS($A$6:A25)&gt;COUNT(التقييم!$J$10:$J$33),"",INDEX(التقييم!$B$10:$B$33,MATCH(ROWS($A$6:A25),التقييم!$J$10:$J$33,0)))</f>
        <v/>
      </c>
      <c r="C25" s="9" t="str">
        <f>IF($B25="","",INDEX(التقييم!$H$10:$H$33,MATCH(ROWS($A$6:A25),التقييم!$J$10:$J$33,0)))</f>
        <v/>
      </c>
      <c r="D25" s="2" t="str">
        <f>IF($B25="","",IFERROR(VLOOKUP($B25,'بيانات مساعدة'!$A$2:$C$25,2,FALSE),""))</f>
        <v/>
      </c>
      <c r="E25" s="2" t="str">
        <f>IF($B25="","",IFERROR(VLOOKUP($B25,'بيانات مساعدة'!$A$2:$C$25,3,FALSE),""))</f>
        <v/>
      </c>
      <c r="F25" s="3" t="str">
        <f t="shared" si="0"/>
        <v/>
      </c>
      <c r="G25" s="2" t="str">
        <f t="shared" si="1"/>
        <v/>
      </c>
    </row>
    <row r="26" spans="1:7" ht="24.75">
      <c r="A26" s="35" t="s">
        <v>412</v>
      </c>
      <c r="B26" s="8" t="str">
        <f>IF(ROWS($A$6:A26)&gt;COUNT(التقييم!$J$10:$J$33),"",INDEX(التقييم!$B$10:$B$33,MATCH(ROWS($A$6:A26),التقييم!$J$10:$J$33,0)))</f>
        <v/>
      </c>
      <c r="C26" s="9" t="str">
        <f>IF($B26="","",INDEX(التقييم!$H$10:$H$33,MATCH(ROWS($A$6:A26),التقييم!$J$10:$J$33,0)))</f>
        <v/>
      </c>
      <c r="D26" s="2" t="str">
        <f>IF($B26="","",IFERROR(VLOOKUP($B26,'بيانات مساعدة'!$A$2:$C$25,2,FALSE),""))</f>
        <v/>
      </c>
      <c r="E26" s="2" t="str">
        <f>IF($B26="","",IFERROR(VLOOKUP($B26,'بيانات مساعدة'!$A$2:$C$25,3,FALSE),""))</f>
        <v/>
      </c>
      <c r="F26" s="3" t="str">
        <f t="shared" si="0"/>
        <v/>
      </c>
      <c r="G26" s="2" t="str">
        <f t="shared" si="1"/>
        <v/>
      </c>
    </row>
    <row r="27" spans="1:7" ht="24.75">
      <c r="A27" s="35" t="s">
        <v>413</v>
      </c>
      <c r="B27" s="8" t="str">
        <f>IF(ROWS($A$6:A27)&gt;COUNT(التقييم!$J$10:$J$33),"",INDEX(التقييم!$B$10:$B$33,MATCH(ROWS($A$6:A27),التقييم!$J$10:$J$33,0)))</f>
        <v/>
      </c>
      <c r="C27" s="9" t="str">
        <f>IF($B27="","",INDEX(التقييم!$H$10:$H$33,MATCH(ROWS($A$6:A27),التقييم!$J$10:$J$33,0)))</f>
        <v/>
      </c>
      <c r="D27" s="2" t="str">
        <f>IF($B27="","",IFERROR(VLOOKUP($B27,'بيانات مساعدة'!$A$2:$C$25,2,FALSE),""))</f>
        <v/>
      </c>
      <c r="E27" s="2" t="str">
        <f>IF($B27="","",IFERROR(VLOOKUP($B27,'بيانات مساعدة'!$A$2:$C$25,3,FALSE),""))</f>
        <v/>
      </c>
      <c r="F27" s="3" t="str">
        <f t="shared" si="0"/>
        <v/>
      </c>
      <c r="G27" s="2" t="str">
        <f t="shared" si="1"/>
        <v/>
      </c>
    </row>
    <row r="28" spans="1:7" ht="24.75">
      <c r="A28" s="35" t="s">
        <v>414</v>
      </c>
      <c r="B28" s="8" t="str">
        <f>IF(ROWS($A$6:A28)&gt;COUNT(التقييم!$J$10:$J$33),"",INDEX(التقييم!$B$10:$B$33,MATCH(ROWS($A$6:A28),التقييم!$J$10:$J$33,0)))</f>
        <v/>
      </c>
      <c r="C28" s="9" t="str">
        <f>IF($B28="","",INDEX(التقييم!$H$10:$H$33,MATCH(ROWS($A$6:A28),التقييم!$J$10:$J$33,0)))</f>
        <v/>
      </c>
      <c r="D28" s="2" t="str">
        <f>IF($B28="","",IFERROR(VLOOKUP($B28,'بيانات مساعدة'!$A$2:$C$25,2,FALSE),""))</f>
        <v/>
      </c>
      <c r="E28" s="2" t="str">
        <f>IF($B28="","",IFERROR(VLOOKUP($B28,'بيانات مساعدة'!$A$2:$C$25,3,FALSE),""))</f>
        <v/>
      </c>
      <c r="F28" s="3" t="str">
        <f t="shared" si="0"/>
        <v/>
      </c>
      <c r="G28" s="2" t="str">
        <f t="shared" si="1"/>
        <v/>
      </c>
    </row>
    <row r="29" spans="1:7" ht="24.75">
      <c r="A29" s="35" t="s">
        <v>415</v>
      </c>
      <c r="B29" s="8" t="str">
        <f>IF(ROWS($A$6:A29)&gt;COUNT(التقييم!$J$10:$J$33),"",INDEX(التقييم!$B$10:$B$33,MATCH(ROWS($A$6:A29),التقييم!$J$10:$J$33,0)))</f>
        <v/>
      </c>
      <c r="C29" s="9" t="str">
        <f>IF($B29="","",INDEX(التقييم!$H$10:$H$33,MATCH(ROWS($A$6:A29),التقييم!$J$10:$J$33,0)))</f>
        <v/>
      </c>
      <c r="D29" s="2" t="str">
        <f>IF($B29="","",IFERROR(VLOOKUP($B29,'بيانات مساعدة'!$A$2:$C$25,2,FALSE),""))</f>
        <v/>
      </c>
      <c r="E29" s="2" t="str">
        <f>IF($B29="","",IFERROR(VLOOKUP($B29,'بيانات مساعدة'!$A$2:$C$25,3,FALSE),""))</f>
        <v/>
      </c>
      <c r="F29" s="3" t="str">
        <f t="shared" si="0"/>
        <v/>
      </c>
      <c r="G29" s="2" t="str">
        <f t="shared" si="1"/>
        <v/>
      </c>
    </row>
    <row r="31" spans="1:7" ht="36">
      <c r="A31" s="35" t="s">
        <v>416</v>
      </c>
    </row>
    <row r="32" spans="1:7" ht="24.75">
      <c r="A32" s="36" t="s">
        <v>417</v>
      </c>
    </row>
    <row r="33" spans="1:1" ht="24.75">
      <c r="A33" s="36" t="s">
        <v>418</v>
      </c>
    </row>
  </sheetData>
  <sheetProtection algorithmName="SHA-512" hashValue="AF8IEnUZsxaDIohT2hCDvSWh+Dsf0W8XLoIVDAFg+ITLIPdnQjt77SzCuQGtsLpRb23H2gW7mcVIxi0eByQalQ==" saltValue="6RhfwrykXZlwW+6Zx0b8NA==" spinCount="100000" sheet="1" objects="1" scenarios="1"/>
  <mergeCells count="1">
    <mergeCell ref="A1:G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5"/>
  <sheetViews>
    <sheetView topLeftCell="A24" workbookViewId="0">
      <selection activeCell="C25" sqref="C25"/>
    </sheetView>
  </sheetViews>
  <sheetFormatPr defaultRowHeight="15"/>
  <sheetData>
    <row r="1" spans="1:3" ht="36">
      <c r="A1" s="15" t="s">
        <v>42</v>
      </c>
      <c r="B1" s="16" t="s">
        <v>419</v>
      </c>
      <c r="C1" s="16" t="s">
        <v>420</v>
      </c>
    </row>
    <row r="2" spans="1:3" ht="219.75">
      <c r="A2" s="17" t="s">
        <v>54</v>
      </c>
      <c r="B2" s="17" t="s">
        <v>421</v>
      </c>
      <c r="C2" s="17" t="s">
        <v>422</v>
      </c>
    </row>
    <row r="3" spans="1:3" ht="243">
      <c r="A3" s="17" t="s">
        <v>423</v>
      </c>
      <c r="B3" s="17" t="s">
        <v>424</v>
      </c>
      <c r="C3" s="17" t="s">
        <v>425</v>
      </c>
    </row>
    <row r="4" spans="1:3" ht="231.75">
      <c r="A4" s="17" t="s">
        <v>426</v>
      </c>
      <c r="B4" s="17" t="s">
        <v>427</v>
      </c>
      <c r="C4" s="17" t="s">
        <v>428</v>
      </c>
    </row>
    <row r="5" spans="1:3" ht="219.75">
      <c r="A5" s="17" t="s">
        <v>429</v>
      </c>
      <c r="B5" s="17" t="s">
        <v>430</v>
      </c>
      <c r="C5" s="17" t="s">
        <v>431</v>
      </c>
    </row>
    <row r="6" spans="1:3" ht="197.25">
      <c r="A6" s="17" t="s">
        <v>432</v>
      </c>
      <c r="B6" s="17" t="s">
        <v>433</v>
      </c>
      <c r="C6" s="17" t="s">
        <v>434</v>
      </c>
    </row>
    <row r="7" spans="1:3" ht="162.75">
      <c r="A7" s="17" t="s">
        <v>120</v>
      </c>
      <c r="B7" s="17" t="s">
        <v>435</v>
      </c>
      <c r="C7" s="17" t="s">
        <v>436</v>
      </c>
    </row>
    <row r="8" spans="1:3" ht="197.25">
      <c r="A8" s="17" t="s">
        <v>437</v>
      </c>
      <c r="B8" s="17" t="s">
        <v>438</v>
      </c>
      <c r="C8" s="17" t="s">
        <v>439</v>
      </c>
    </row>
    <row r="9" spans="1:3" ht="197.25">
      <c r="A9" s="17" t="s">
        <v>146</v>
      </c>
      <c r="B9" s="17" t="s">
        <v>440</v>
      </c>
      <c r="C9" s="17" t="s">
        <v>441</v>
      </c>
    </row>
    <row r="10" spans="1:3" ht="219.75">
      <c r="A10" s="17" t="s">
        <v>159</v>
      </c>
      <c r="B10" s="17" t="s">
        <v>442</v>
      </c>
      <c r="C10" s="17" t="s">
        <v>443</v>
      </c>
    </row>
    <row r="11" spans="1:3" ht="162.75">
      <c r="A11" s="17" t="s">
        <v>444</v>
      </c>
      <c r="B11" s="17" t="s">
        <v>445</v>
      </c>
      <c r="C11" s="17" t="s">
        <v>446</v>
      </c>
    </row>
    <row r="12" spans="1:3" ht="208.5">
      <c r="A12" s="17" t="s">
        <v>447</v>
      </c>
      <c r="B12" s="17" t="s">
        <v>448</v>
      </c>
      <c r="C12" s="17" t="s">
        <v>449</v>
      </c>
    </row>
    <row r="13" spans="1:3" ht="185.25">
      <c r="A13" s="17" t="s">
        <v>450</v>
      </c>
      <c r="B13" s="17" t="s">
        <v>451</v>
      </c>
      <c r="C13" s="17" t="s">
        <v>452</v>
      </c>
    </row>
    <row r="14" spans="1:3" ht="185.25">
      <c r="A14" s="17" t="s">
        <v>212</v>
      </c>
      <c r="B14" s="17" t="s">
        <v>453</v>
      </c>
      <c r="C14" s="17" t="s">
        <v>454</v>
      </c>
    </row>
    <row r="15" spans="1:3" ht="174">
      <c r="A15" s="17" t="s">
        <v>455</v>
      </c>
      <c r="B15" s="17" t="s">
        <v>456</v>
      </c>
      <c r="C15" s="17" t="s">
        <v>457</v>
      </c>
    </row>
    <row r="16" spans="1:3" ht="174">
      <c r="A16" s="17" t="s">
        <v>239</v>
      </c>
      <c r="B16" s="17" t="s">
        <v>458</v>
      </c>
      <c r="C16" s="17" t="s">
        <v>459</v>
      </c>
    </row>
    <row r="17" spans="1:3" ht="208.5">
      <c r="A17" s="17" t="s">
        <v>460</v>
      </c>
      <c r="B17" s="17" t="s">
        <v>461</v>
      </c>
      <c r="C17" s="17" t="s">
        <v>462</v>
      </c>
    </row>
    <row r="18" spans="1:3" ht="185.25">
      <c r="A18" s="17" t="s">
        <v>463</v>
      </c>
      <c r="B18" s="17" t="s">
        <v>464</v>
      </c>
      <c r="C18" s="17" t="s">
        <v>465</v>
      </c>
    </row>
    <row r="19" spans="1:3" ht="150.75">
      <c r="A19" s="17" t="s">
        <v>466</v>
      </c>
      <c r="B19" s="17" t="s">
        <v>467</v>
      </c>
      <c r="C19" s="17" t="s">
        <v>468</v>
      </c>
    </row>
    <row r="20" spans="1:3" ht="185.25">
      <c r="A20" s="17" t="s">
        <v>292</v>
      </c>
      <c r="B20" s="17" t="s">
        <v>469</v>
      </c>
      <c r="C20" s="17" t="s">
        <v>470</v>
      </c>
    </row>
    <row r="21" spans="1:3" ht="185.25">
      <c r="A21" s="17" t="s">
        <v>305</v>
      </c>
      <c r="B21" s="17" t="s">
        <v>471</v>
      </c>
      <c r="C21" s="17" t="s">
        <v>472</v>
      </c>
    </row>
    <row r="22" spans="1:3" ht="162.75">
      <c r="A22" s="17" t="s">
        <v>473</v>
      </c>
      <c r="B22" s="17" t="s">
        <v>474</v>
      </c>
      <c r="C22" s="17" t="s">
        <v>475</v>
      </c>
    </row>
    <row r="23" spans="1:3" ht="219.75">
      <c r="A23" s="17" t="s">
        <v>332</v>
      </c>
      <c r="B23" s="17" t="s">
        <v>476</v>
      </c>
      <c r="C23" s="17" t="s">
        <v>477</v>
      </c>
    </row>
    <row r="24" spans="1:3" ht="162.75">
      <c r="A24" s="17" t="s">
        <v>478</v>
      </c>
      <c r="B24" s="17" t="s">
        <v>479</v>
      </c>
      <c r="C24" s="17" t="s">
        <v>480</v>
      </c>
    </row>
    <row r="25" spans="1:3" ht="197.25">
      <c r="A25" s="17" t="s">
        <v>358</v>
      </c>
      <c r="B25" s="17" t="s">
        <v>481</v>
      </c>
      <c r="C25" s="17" t="s">
        <v>482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88fd04f-59a8-4cf0-8ac4-a2b5426c5b7a">
      <Terms xmlns="http://schemas.microsoft.com/office/infopath/2007/PartnerControls"/>
    </lcf76f155ced4ddcb4097134ff3c332f>
    <TaxCatchAll xmlns="18e16052-f6ca-4e83-8e63-6fdb3ecfb29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F0B5E36E2828041B245F68F675D818E" ma:contentTypeVersion="14" ma:contentTypeDescription="Create a new document." ma:contentTypeScope="" ma:versionID="2094e709b2c03a434a59625aadf3e2bc">
  <xsd:schema xmlns:xsd="http://www.w3.org/2001/XMLSchema" xmlns:xs="http://www.w3.org/2001/XMLSchema" xmlns:p="http://schemas.microsoft.com/office/2006/metadata/properties" xmlns:ns2="f88fd04f-59a8-4cf0-8ac4-a2b5426c5b7a" xmlns:ns3="18e16052-f6ca-4e83-8e63-6fdb3ecfb297" targetNamespace="http://schemas.microsoft.com/office/2006/metadata/properties" ma:root="true" ma:fieldsID="ce589b23ff4876cb2e55e43836f56dd7" ns2:_="" ns3:_="">
    <xsd:import namespace="f88fd04f-59a8-4cf0-8ac4-a2b5426c5b7a"/>
    <xsd:import namespace="18e16052-f6ca-4e83-8e63-6fdb3ecfb2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8fd04f-59a8-4cf0-8ac4-a2b5426c5b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fea0466-b813-4159-b5c3-eab993cdabb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e16052-f6ca-4e83-8e63-6fdb3ecfb29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a7dab045-c71a-447d-b80e-fd73802e6f69}" ma:internalName="TaxCatchAll" ma:showField="CatchAllData" ma:web="18e16052-f6ca-4e83-8e63-6fdb3ecfb2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00BCF9-D5C7-4E92-B077-D6EE965A6F13}"/>
</file>

<file path=customXml/itemProps2.xml><?xml version="1.0" encoding="utf-8"?>
<ds:datastoreItem xmlns:ds="http://schemas.openxmlformats.org/officeDocument/2006/customXml" ds:itemID="{F58E4733-3085-4CB8-A0F8-548204ACA7E2}"/>
</file>

<file path=customXml/itemProps3.xml><?xml version="1.0" encoding="utf-8"?>
<ds:datastoreItem xmlns:ds="http://schemas.openxmlformats.org/officeDocument/2006/customXml" ds:itemID="{456B2139-26D7-42C7-A925-C40203CD7B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2026-04-22T05:36:27Z</dcterms:created>
  <dcterms:modified xsi:type="dcterms:W3CDTF">2026-05-22T03:39:11Z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0x010100BF0B5E36E2828041B245F68F675D818E</vt:lpwstr>
  </property>
  <property fmtid="{D5CDD505-2E9C-101B-9397-08002B2CF9AE}" pid="3" name="MediaServiceImageTags">
    <vt:lpwstr/>
  </property>
</Properties>
</file>