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ownloads\الهدف الثالث\"/>
    </mc:Choice>
  </mc:AlternateContent>
  <xr:revisionPtr revIDLastSave="0" documentId="13_ncr:1_{A0BB58D7-FDCD-4A8F-AE68-63193C8BC8A5}" xr6:coauthVersionLast="47" xr6:coauthVersionMax="47" xr10:uidLastSave="{00000000-0000-0000-0000-000000000000}"/>
  <bookViews>
    <workbookView xWindow="-110" yWindow="-110" windowWidth="19420" windowHeight="11500" activeTab="1" xr2:uid="{B00240E7-06D0-4F67-814B-09D3B0E075E6}"/>
  </bookViews>
  <sheets>
    <sheet name="ف2-ف1" sheetId="1" r:id="rId1"/>
    <sheet name="2025" sheetId="2" r:id="rId2"/>
  </sheets>
  <definedNames>
    <definedName name="_xlnm._FilterDatabase" localSheetId="0" hidden="1">'ف2-ف1'!$D$1:$AW$1</definedName>
    <definedName name="JR_PAGE_ANCHOR_0_3">'ف2-ف1'!#REF!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2" l="1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</calcChain>
</file>

<file path=xl/sharedStrings.xml><?xml version="1.0" encoding="utf-8"?>
<sst xmlns="http://schemas.openxmlformats.org/spreadsheetml/2006/main" count="192" uniqueCount="28">
  <si>
    <t>الشعبة</t>
  </si>
  <si>
    <t>اسم المعلم</t>
  </si>
  <si>
    <t>05/1</t>
  </si>
  <si>
    <t>05/2</t>
  </si>
  <si>
    <t>05/3</t>
  </si>
  <si>
    <t>05[Advanced]/1</t>
  </si>
  <si>
    <t>06[Advanced]/1</t>
  </si>
  <si>
    <t>06[General]/1</t>
  </si>
  <si>
    <t>06[General]/2</t>
  </si>
  <si>
    <t>06[General]/3</t>
  </si>
  <si>
    <t>06[General]/4</t>
  </si>
  <si>
    <t>06[General]/5</t>
  </si>
  <si>
    <t>07[Adv-3rdLanguage]/1</t>
  </si>
  <si>
    <t>07[Gen-3rdLanguage]/1</t>
  </si>
  <si>
    <t>07[Gen-3rdLanguage]/2</t>
  </si>
  <si>
    <t>07[Gen-3rdLanguage]/3</t>
  </si>
  <si>
    <t>07[Gen-3rdLanguage]/4</t>
  </si>
  <si>
    <t>08[Adv-3rdLanguage]/1</t>
  </si>
  <si>
    <t>08[Gen-3rdLanguage]/1</t>
  </si>
  <si>
    <t>08[Gen-3rdLanguage]/2</t>
  </si>
  <si>
    <t>08[Gen-3rdLanguage]/3</t>
  </si>
  <si>
    <t>08[Gen-3rdLanguage]/4</t>
  </si>
  <si>
    <t>08[Gen-3rdLanguage]/5</t>
  </si>
  <si>
    <t>رشا احمد محمود  عبدالسلام</t>
  </si>
  <si>
    <t>معدل الفصل الثاني</t>
  </si>
  <si>
    <t>معدل الفصل الأول</t>
  </si>
  <si>
    <t>نسبة التقدم التقدم</t>
  </si>
  <si>
    <t>الحكم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</si>
</sst>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rgb="FF1A171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A1717"/>
      </left>
      <right style="thin">
        <color rgb="FF1A1717"/>
      </right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1" xfId="0" applyFill="1" applyBorder="1" applyAlignment="1" applyProtection="1">
      <alignment horizontal="center" vertical="center" wrapText="1"/>
      <protection locked="0"/>
    </xf>
    <xf numFmtId="0" fontId="1" fillId="4" borderId="7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5" borderId="2" xfId="0" applyFill="1" applyBorder="1" applyAlignment="1" applyProtection="1">
      <alignment horizontal="center" vertical="center" wrapText="1"/>
      <protection locked="0"/>
    </xf>
    <xf numFmtId="0" fontId="1" fillId="6" borderId="9" xfId="0" applyFont="1" applyFill="1" applyBorder="1" applyAlignment="1">
      <alignment horizontal="center" vertical="center" wrapText="1"/>
    </xf>
    <xf numFmtId="0" fontId="0" fillId="7" borderId="1" xfId="0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>
      <alignment horizontal="center" vertical="center" wrapText="1"/>
    </xf>
    <xf numFmtId="0" fontId="0" fillId="3" borderId="8" xfId="0" applyFill="1" applyBorder="1" applyAlignment="1" applyProtection="1">
      <alignment horizontal="center" vertical="center" wrapText="1"/>
      <protection locked="0"/>
    </xf>
    <xf numFmtId="0" fontId="0" fillId="4" borderId="8" xfId="0" applyFill="1" applyBorder="1" applyAlignment="1" applyProtection="1">
      <alignment horizontal="center" vertical="center" wrapText="1"/>
      <protection locked="0"/>
    </xf>
    <xf numFmtId="0" fontId="0" fillId="5" borderId="8" xfId="0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8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AEA56-CAE0-43EE-95EF-23277DECD9F8}">
  <sheetPr>
    <outlinePr summaryBelow="0"/>
  </sheetPr>
  <dimension ref="A1:M22"/>
  <sheetViews>
    <sheetView rightToLeft="1" workbookViewId="0">
      <selection sqref="A1:XFD1048576"/>
    </sheetView>
  </sheetViews>
  <sheetFormatPr defaultColWidth="19" defaultRowHeight="21.75" customHeight="1" x14ac:dyDescent="0.3"/>
  <cols>
    <col min="1" max="1" width="20" bestFit="1" customWidth="1"/>
    <col min="2" max="2" width="25" bestFit="1" customWidth="1"/>
    <col min="3" max="3" width="13.83203125" bestFit="1" customWidth="1"/>
    <col min="4" max="4" width="20" bestFit="1" customWidth="1"/>
    <col min="5" max="5" width="25" bestFit="1" customWidth="1"/>
    <col min="6" max="6" width="18.58203125" bestFit="1" customWidth="1"/>
    <col min="7" max="7" width="15" customWidth="1"/>
    <col min="10" max="10" width="25.83203125" hidden="1" customWidth="1"/>
    <col min="11" max="13" width="0" hidden="1" customWidth="1"/>
  </cols>
  <sheetData>
    <row r="1" spans="1:13" ht="21.75" customHeight="1" x14ac:dyDescent="0.3">
      <c r="A1" s="5" t="s">
        <v>0</v>
      </c>
      <c r="B1" s="6" t="s">
        <v>1</v>
      </c>
      <c r="C1" s="7" t="s">
        <v>25</v>
      </c>
      <c r="D1" s="8" t="s">
        <v>0</v>
      </c>
      <c r="E1" s="9" t="s">
        <v>1</v>
      </c>
      <c r="F1" s="10" t="s">
        <v>24</v>
      </c>
      <c r="G1" s="11" t="s">
        <v>26</v>
      </c>
      <c r="H1" s="13" t="s">
        <v>27</v>
      </c>
      <c r="J1" s="14" t="s">
        <v>1</v>
      </c>
      <c r="K1" s="15" t="s">
        <v>25</v>
      </c>
      <c r="L1" s="16" t="s">
        <v>24</v>
      </c>
      <c r="M1" s="17" t="s">
        <v>26</v>
      </c>
    </row>
    <row r="2" spans="1:13" ht="21.75" customHeight="1" x14ac:dyDescent="0.3">
      <c r="A2" s="1" t="s">
        <v>2</v>
      </c>
      <c r="B2" s="2" t="s">
        <v>23</v>
      </c>
      <c r="C2" s="3">
        <v>95.23</v>
      </c>
      <c r="D2" s="1" t="s">
        <v>2</v>
      </c>
      <c r="E2" s="2" t="s">
        <v>23</v>
      </c>
      <c r="F2" s="3">
        <v>96.91</v>
      </c>
      <c r="G2" s="4">
        <f t="shared" ref="G2:G5" si="0">F2-C2</f>
        <v>1.6799999999999926</v>
      </c>
      <c r="H2" s="12" t="str">
        <f t="shared" ref="H2:H5" si="1">IF(F2&gt;C2,"Improved",IF(F2&lt;C2,"Declined","Maintained"))</f>
        <v>Improved</v>
      </c>
    </row>
    <row r="3" spans="1:13" ht="21.75" customHeight="1" x14ac:dyDescent="0.3">
      <c r="A3" s="1" t="s">
        <v>3</v>
      </c>
      <c r="B3" s="2" t="s">
        <v>23</v>
      </c>
      <c r="C3" s="3">
        <v>95.23</v>
      </c>
      <c r="D3" s="1" t="s">
        <v>3</v>
      </c>
      <c r="E3" s="2" t="s">
        <v>23</v>
      </c>
      <c r="F3" s="3">
        <v>96.9</v>
      </c>
      <c r="G3" s="4">
        <f t="shared" si="0"/>
        <v>1.6700000000000017</v>
      </c>
      <c r="H3" s="12" t="str">
        <f t="shared" si="1"/>
        <v>Improved</v>
      </c>
    </row>
    <row r="4" spans="1:13" ht="21.75" customHeight="1" x14ac:dyDescent="0.3">
      <c r="A4" s="1" t="s">
        <v>4</v>
      </c>
      <c r="B4" s="2" t="s">
        <v>23</v>
      </c>
      <c r="C4" s="3">
        <v>94.2</v>
      </c>
      <c r="D4" s="1" t="s">
        <v>4</v>
      </c>
      <c r="E4" s="2" t="s">
        <v>23</v>
      </c>
      <c r="F4" s="3">
        <v>96.08</v>
      </c>
      <c r="G4" s="4">
        <f t="shared" si="0"/>
        <v>1.8799999999999955</v>
      </c>
      <c r="H4" s="12" t="str">
        <f t="shared" si="1"/>
        <v>Improved</v>
      </c>
    </row>
    <row r="5" spans="1:13" ht="21.75" customHeight="1" x14ac:dyDescent="0.3">
      <c r="A5" s="1" t="s">
        <v>5</v>
      </c>
      <c r="B5" s="2" t="s">
        <v>23</v>
      </c>
      <c r="C5" s="3">
        <v>96.78</v>
      </c>
      <c r="D5" s="1" t="s">
        <v>5</v>
      </c>
      <c r="E5" s="2" t="s">
        <v>23</v>
      </c>
      <c r="F5" s="3">
        <v>98.44</v>
      </c>
      <c r="G5" s="4">
        <f t="shared" si="0"/>
        <v>1.6599999999999966</v>
      </c>
      <c r="H5" s="12" t="str">
        <f t="shared" si="1"/>
        <v>Improved</v>
      </c>
    </row>
    <row r="6" spans="1:13" ht="21.75" customHeight="1" x14ac:dyDescent="0.3">
      <c r="A6" s="1" t="s">
        <v>6</v>
      </c>
      <c r="B6" s="2" t="s">
        <v>23</v>
      </c>
      <c r="C6" s="3">
        <v>96.52</v>
      </c>
      <c r="D6" s="1" t="s">
        <v>6</v>
      </c>
      <c r="E6" s="2" t="s">
        <v>23</v>
      </c>
      <c r="F6" s="3">
        <v>98.24</v>
      </c>
      <c r="G6" s="4">
        <f t="shared" ref="G6:G22" si="2">F6-C6</f>
        <v>1.7199999999999989</v>
      </c>
      <c r="H6" s="12" t="str">
        <f t="shared" ref="H6:H22" si="3">IF(F6&gt;C6,"Improved",IF(F6&lt;C6,"Declined","Maintained"))</f>
        <v>Improved</v>
      </c>
    </row>
    <row r="7" spans="1:13" ht="21.75" customHeight="1" x14ac:dyDescent="0.3">
      <c r="A7" s="1" t="s">
        <v>7</v>
      </c>
      <c r="B7" s="2" t="s">
        <v>23</v>
      </c>
      <c r="C7" s="3">
        <v>95.11</v>
      </c>
      <c r="D7" s="1" t="s">
        <v>7</v>
      </c>
      <c r="E7" s="2" t="s">
        <v>23</v>
      </c>
      <c r="F7" s="3">
        <v>96.96</v>
      </c>
      <c r="G7" s="4">
        <f t="shared" si="2"/>
        <v>1.8499999999999943</v>
      </c>
      <c r="H7" s="12" t="str">
        <f t="shared" si="3"/>
        <v>Improved</v>
      </c>
    </row>
    <row r="8" spans="1:13" ht="21.75" customHeight="1" x14ac:dyDescent="0.3">
      <c r="A8" s="1" t="s">
        <v>8</v>
      </c>
      <c r="B8" s="2" t="s">
        <v>23</v>
      </c>
      <c r="C8" s="3">
        <v>95.19</v>
      </c>
      <c r="D8" s="1" t="s">
        <v>8</v>
      </c>
      <c r="E8" s="2" t="s">
        <v>23</v>
      </c>
      <c r="F8" s="3">
        <v>96.92</v>
      </c>
      <c r="G8" s="4">
        <f t="shared" si="2"/>
        <v>1.730000000000004</v>
      </c>
      <c r="H8" s="12" t="str">
        <f t="shared" si="3"/>
        <v>Improved</v>
      </c>
    </row>
    <row r="9" spans="1:13" ht="21.75" customHeight="1" x14ac:dyDescent="0.3">
      <c r="A9" s="1" t="s">
        <v>9</v>
      </c>
      <c r="B9" s="2" t="s">
        <v>23</v>
      </c>
      <c r="C9" s="3">
        <v>94.33</v>
      </c>
      <c r="D9" s="1" t="s">
        <v>9</v>
      </c>
      <c r="E9" s="2" t="s">
        <v>23</v>
      </c>
      <c r="F9" s="3">
        <v>96.13</v>
      </c>
      <c r="G9" s="4">
        <f t="shared" si="2"/>
        <v>1.7999999999999972</v>
      </c>
      <c r="H9" s="12" t="str">
        <f t="shared" si="3"/>
        <v>Improved</v>
      </c>
    </row>
    <row r="10" spans="1:13" ht="21.75" customHeight="1" x14ac:dyDescent="0.3">
      <c r="A10" s="1" t="s">
        <v>10</v>
      </c>
      <c r="B10" s="2" t="s">
        <v>23</v>
      </c>
      <c r="C10" s="3">
        <v>96.25</v>
      </c>
      <c r="D10" s="1" t="s">
        <v>10</v>
      </c>
      <c r="E10" s="2" t="s">
        <v>23</v>
      </c>
      <c r="F10" s="3">
        <v>98</v>
      </c>
      <c r="G10" s="4">
        <f t="shared" si="2"/>
        <v>1.75</v>
      </c>
      <c r="H10" s="12" t="str">
        <f t="shared" si="3"/>
        <v>Improved</v>
      </c>
    </row>
    <row r="11" spans="1:13" ht="21.75" customHeight="1" x14ac:dyDescent="0.3">
      <c r="A11" s="1" t="s">
        <v>11</v>
      </c>
      <c r="B11" s="2" t="s">
        <v>23</v>
      </c>
      <c r="C11" s="3">
        <v>94.34</v>
      </c>
      <c r="D11" s="1" t="s">
        <v>11</v>
      </c>
      <c r="E11" s="2" t="s">
        <v>23</v>
      </c>
      <c r="F11" s="3">
        <v>95.94</v>
      </c>
      <c r="G11" s="4">
        <f t="shared" si="2"/>
        <v>1.5999999999999943</v>
      </c>
      <c r="H11" s="12" t="str">
        <f t="shared" si="3"/>
        <v>Improved</v>
      </c>
    </row>
    <row r="12" spans="1:13" ht="21.75" customHeight="1" x14ac:dyDescent="0.3">
      <c r="A12" s="1" t="s">
        <v>12</v>
      </c>
      <c r="B12" s="2" t="s">
        <v>23</v>
      </c>
      <c r="C12" s="3">
        <v>97.45</v>
      </c>
      <c r="D12" s="1" t="s">
        <v>12</v>
      </c>
      <c r="E12" s="2" t="s">
        <v>23</v>
      </c>
      <c r="F12" s="3">
        <v>99.09</v>
      </c>
      <c r="G12" s="4">
        <f t="shared" si="2"/>
        <v>1.6400000000000006</v>
      </c>
      <c r="H12" s="12" t="str">
        <f t="shared" si="3"/>
        <v>Improved</v>
      </c>
    </row>
    <row r="13" spans="1:13" ht="21.75" customHeight="1" x14ac:dyDescent="0.3">
      <c r="A13" s="1" t="s">
        <v>13</v>
      </c>
      <c r="B13" s="2" t="s">
        <v>23</v>
      </c>
      <c r="C13" s="3">
        <v>95.14</v>
      </c>
      <c r="D13" s="1" t="s">
        <v>13</v>
      </c>
      <c r="E13" s="2" t="s">
        <v>23</v>
      </c>
      <c r="F13" s="3">
        <v>96.94</v>
      </c>
      <c r="G13" s="4">
        <f t="shared" si="2"/>
        <v>1.7999999999999972</v>
      </c>
      <c r="H13" s="12" t="str">
        <f t="shared" si="3"/>
        <v>Improved</v>
      </c>
    </row>
    <row r="14" spans="1:13" ht="21.75" customHeight="1" x14ac:dyDescent="0.3">
      <c r="A14" s="1" t="s">
        <v>14</v>
      </c>
      <c r="B14" s="2" t="s">
        <v>23</v>
      </c>
      <c r="C14" s="3">
        <v>93.83</v>
      </c>
      <c r="D14" s="1" t="s">
        <v>14</v>
      </c>
      <c r="E14" s="2" t="s">
        <v>23</v>
      </c>
      <c r="F14" s="3">
        <v>95.79</v>
      </c>
      <c r="G14" s="4">
        <f t="shared" si="2"/>
        <v>1.960000000000008</v>
      </c>
      <c r="H14" s="12" t="str">
        <f t="shared" si="3"/>
        <v>Improved</v>
      </c>
    </row>
    <row r="15" spans="1:13" ht="21.75" customHeight="1" x14ac:dyDescent="0.3">
      <c r="A15" s="1" t="s">
        <v>15</v>
      </c>
      <c r="B15" s="2" t="s">
        <v>23</v>
      </c>
      <c r="C15" s="3">
        <v>94</v>
      </c>
      <c r="D15" s="1" t="s">
        <v>15</v>
      </c>
      <c r="E15" s="2" t="s">
        <v>23</v>
      </c>
      <c r="F15" s="3">
        <v>95.94</v>
      </c>
      <c r="G15" s="4">
        <f t="shared" si="2"/>
        <v>1.9399999999999977</v>
      </c>
      <c r="H15" s="12" t="str">
        <f t="shared" si="3"/>
        <v>Improved</v>
      </c>
    </row>
    <row r="16" spans="1:13" ht="21.75" customHeight="1" x14ac:dyDescent="0.3">
      <c r="A16" s="1" t="s">
        <v>16</v>
      </c>
      <c r="B16" s="2" t="s">
        <v>23</v>
      </c>
      <c r="C16" s="3">
        <v>95.4</v>
      </c>
      <c r="D16" s="1" t="s">
        <v>16</v>
      </c>
      <c r="E16" s="2" t="s">
        <v>23</v>
      </c>
      <c r="F16" s="3">
        <v>97.17</v>
      </c>
      <c r="G16" s="4">
        <f t="shared" si="2"/>
        <v>1.769999999999996</v>
      </c>
      <c r="H16" s="12" t="str">
        <f t="shared" si="3"/>
        <v>Improved</v>
      </c>
    </row>
    <row r="17" spans="1:8" ht="21.75" customHeight="1" x14ac:dyDescent="0.3">
      <c r="A17" s="1" t="s">
        <v>17</v>
      </c>
      <c r="B17" s="2" t="s">
        <v>23</v>
      </c>
      <c r="C17" s="3">
        <v>97.15</v>
      </c>
      <c r="D17" s="1" t="s">
        <v>17</v>
      </c>
      <c r="E17" s="2" t="s">
        <v>23</v>
      </c>
      <c r="F17" s="3">
        <v>98.8</v>
      </c>
      <c r="G17" s="4">
        <f t="shared" si="2"/>
        <v>1.6499999999999915</v>
      </c>
      <c r="H17" s="12" t="str">
        <f t="shared" si="3"/>
        <v>Improved</v>
      </c>
    </row>
    <row r="18" spans="1:8" ht="21.75" customHeight="1" x14ac:dyDescent="0.3">
      <c r="A18" s="1" t="s">
        <v>18</v>
      </c>
      <c r="B18" s="2" t="s">
        <v>23</v>
      </c>
      <c r="C18" s="3">
        <v>94.77</v>
      </c>
      <c r="D18" s="1" t="s">
        <v>18</v>
      </c>
      <c r="E18" s="2" t="s">
        <v>23</v>
      </c>
      <c r="F18" s="3">
        <v>96.68</v>
      </c>
      <c r="G18" s="4">
        <f t="shared" si="2"/>
        <v>1.9100000000000108</v>
      </c>
      <c r="H18" s="12" t="str">
        <f t="shared" si="3"/>
        <v>Improved</v>
      </c>
    </row>
    <row r="19" spans="1:8" ht="21.75" customHeight="1" x14ac:dyDescent="0.3">
      <c r="A19" s="1" t="s">
        <v>19</v>
      </c>
      <c r="B19" s="2" t="s">
        <v>23</v>
      </c>
      <c r="C19" s="3">
        <v>95.37</v>
      </c>
      <c r="D19" s="1" t="s">
        <v>19</v>
      </c>
      <c r="E19" s="2" t="s">
        <v>23</v>
      </c>
      <c r="F19" s="3">
        <v>97.2</v>
      </c>
      <c r="G19" s="4">
        <f t="shared" si="2"/>
        <v>1.8299999999999983</v>
      </c>
      <c r="H19" s="12" t="str">
        <f t="shared" si="3"/>
        <v>Improved</v>
      </c>
    </row>
    <row r="20" spans="1:8" ht="21.75" customHeight="1" x14ac:dyDescent="0.3">
      <c r="A20" s="1" t="s">
        <v>20</v>
      </c>
      <c r="B20" s="2" t="s">
        <v>23</v>
      </c>
      <c r="C20" s="3">
        <v>94.45</v>
      </c>
      <c r="D20" s="1" t="s">
        <v>20</v>
      </c>
      <c r="E20" s="2" t="s">
        <v>23</v>
      </c>
      <c r="F20" s="3">
        <v>96.33</v>
      </c>
      <c r="G20" s="4">
        <f t="shared" si="2"/>
        <v>1.8799999999999955</v>
      </c>
      <c r="H20" s="12" t="str">
        <f t="shared" si="3"/>
        <v>Improved</v>
      </c>
    </row>
    <row r="21" spans="1:8" ht="21.75" customHeight="1" x14ac:dyDescent="0.3">
      <c r="A21" s="1" t="s">
        <v>21</v>
      </c>
      <c r="B21" s="2" t="s">
        <v>23</v>
      </c>
      <c r="C21" s="3">
        <v>95.43</v>
      </c>
      <c r="D21" s="1" t="s">
        <v>21</v>
      </c>
      <c r="E21" s="2" t="s">
        <v>23</v>
      </c>
      <c r="F21" s="3">
        <v>97.29</v>
      </c>
      <c r="G21" s="4">
        <f t="shared" si="2"/>
        <v>1.8599999999999994</v>
      </c>
      <c r="H21" s="12" t="str">
        <f t="shared" si="3"/>
        <v>Improved</v>
      </c>
    </row>
    <row r="22" spans="1:8" ht="21.75" customHeight="1" x14ac:dyDescent="0.3">
      <c r="A22" s="1" t="s">
        <v>22</v>
      </c>
      <c r="B22" s="2" t="s">
        <v>23</v>
      </c>
      <c r="C22" s="3">
        <v>93.43</v>
      </c>
      <c r="D22" s="1" t="s">
        <v>22</v>
      </c>
      <c r="E22" s="2" t="s">
        <v>23</v>
      </c>
      <c r="F22" s="3">
        <v>95.42</v>
      </c>
      <c r="G22" s="4">
        <f t="shared" si="2"/>
        <v>1.9899999999999949</v>
      </c>
      <c r="H22" s="12" t="str">
        <f t="shared" si="3"/>
        <v>Improved</v>
      </c>
    </row>
  </sheetData>
  <autoFilter ref="D1:AW1" xr:uid="{F3FAEA56-CAE0-43EE-95EF-23277DECD9F8}">
    <sortState xmlns:xlrd2="http://schemas.microsoft.com/office/spreadsheetml/2017/richdata2" ref="D2:AW222">
      <sortCondition ref="E1"/>
    </sortState>
  </autoFilter>
  <conditionalFormatting sqref="G2:G22">
    <cfRule type="cellIs" dxfId="7" priority="4" operator="lessThan">
      <formula>0</formula>
    </cfRule>
  </conditionalFormatting>
  <conditionalFormatting sqref="H2:H22">
    <cfRule type="containsText" dxfId="6" priority="1" stopIfTrue="1" operator="containsText" text="Maintained">
      <formula>NOT(ISERROR(SEARCH("Maintained",H2)))</formula>
    </cfRule>
    <cfRule type="containsText" dxfId="5" priority="2" stopIfTrue="1" operator="containsText" text="Improved">
      <formula>NOT(ISERROR(SEARCH("Improved",H2)))</formula>
    </cfRule>
    <cfRule type="containsText" dxfId="4" priority="3" stopIfTrue="1" operator="containsText" text="Declined">
      <formula>NOT(ISERROR(SEARCH("Declined",H2)))</formula>
    </cfRule>
  </conditionalFormatting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0D96-5611-4912-A1B8-CB2907F726B1}">
  <dimension ref="A1:M22"/>
  <sheetViews>
    <sheetView rightToLeft="1" tabSelected="1" workbookViewId="0">
      <selection activeCell="C10" sqref="C10"/>
    </sheetView>
  </sheetViews>
  <sheetFormatPr defaultColWidth="19" defaultRowHeight="14" x14ac:dyDescent="0.3"/>
  <cols>
    <col min="1" max="1" width="20" bestFit="1" customWidth="1"/>
    <col min="2" max="2" width="25" bestFit="1" customWidth="1"/>
    <col min="3" max="3" width="13.83203125" bestFit="1" customWidth="1"/>
    <col min="4" max="4" width="20" bestFit="1" customWidth="1"/>
    <col min="5" max="5" width="25" bestFit="1" customWidth="1"/>
    <col min="6" max="6" width="18.58203125" bestFit="1" customWidth="1"/>
    <col min="7" max="7" width="15" customWidth="1"/>
    <col min="10" max="10" width="25.83203125" hidden="1" customWidth="1"/>
    <col min="11" max="13" width="0" hidden="1" customWidth="1"/>
  </cols>
  <sheetData>
    <row r="1" spans="1:13" ht="21.75" customHeight="1" x14ac:dyDescent="0.3">
      <c r="A1" s="5" t="s">
        <v>0</v>
      </c>
      <c r="B1" s="6" t="s">
        <v>1</v>
      </c>
      <c r="C1" s="7" t="s">
        <v>25</v>
      </c>
      <c r="D1" s="8" t="s">
        <v>0</v>
      </c>
      <c r="E1" s="9" t="s">
        <v>1</v>
      </c>
      <c r="F1" s="10" t="s">
        <v>24</v>
      </c>
      <c r="G1" s="11" t="s">
        <v>26</v>
      </c>
      <c r="H1" s="13" t="s">
        <v>27</v>
      </c>
      <c r="J1" s="14" t="s">
        <v>1</v>
      </c>
      <c r="K1" s="15" t="s">
        <v>25</v>
      </c>
      <c r="L1" s="16" t="s">
        <v>24</v>
      </c>
      <c r="M1" s="17" t="s">
        <v>26</v>
      </c>
    </row>
    <row r="2" spans="1:13" ht="21.75" customHeight="1" x14ac:dyDescent="0.3">
      <c r="A2" s="1" t="s">
        <v>2</v>
      </c>
      <c r="B2" s="2" t="s">
        <v>23</v>
      </c>
      <c r="C2" s="3">
        <v>95.23</v>
      </c>
      <c r="D2" s="1" t="s">
        <v>2</v>
      </c>
      <c r="E2" s="2" t="s">
        <v>23</v>
      </c>
      <c r="F2" s="3">
        <v>96.91</v>
      </c>
      <c r="G2" s="4">
        <f t="shared" ref="G2:G22" si="0">F2-C2</f>
        <v>1.6799999999999926</v>
      </c>
      <c r="H2" s="12" t="str">
        <f t="shared" ref="H2:H22" si="1">IF(F2&gt;C2,"Improved",IF(F2&lt;C2,"Declined","Maintained"))</f>
        <v>Improved</v>
      </c>
    </row>
    <row r="3" spans="1:13" ht="21.75" customHeight="1" x14ac:dyDescent="0.3">
      <c r="A3" s="1" t="s">
        <v>3</v>
      </c>
      <c r="B3" s="2" t="s">
        <v>23</v>
      </c>
      <c r="C3" s="3">
        <v>95.23</v>
      </c>
      <c r="D3" s="1" t="s">
        <v>3</v>
      </c>
      <c r="E3" s="2" t="s">
        <v>23</v>
      </c>
      <c r="F3" s="3">
        <v>96.9</v>
      </c>
      <c r="G3" s="4">
        <f t="shared" si="0"/>
        <v>1.6700000000000017</v>
      </c>
      <c r="H3" s="12" t="str">
        <f t="shared" si="1"/>
        <v>Improved</v>
      </c>
    </row>
    <row r="4" spans="1:13" ht="21.75" customHeight="1" x14ac:dyDescent="0.3">
      <c r="A4" s="1" t="s">
        <v>4</v>
      </c>
      <c r="B4" s="2" t="s">
        <v>23</v>
      </c>
      <c r="C4" s="3">
        <v>94.2</v>
      </c>
      <c r="D4" s="1" t="s">
        <v>4</v>
      </c>
      <c r="E4" s="2" t="s">
        <v>23</v>
      </c>
      <c r="F4" s="3">
        <v>96.08</v>
      </c>
      <c r="G4" s="4">
        <f t="shared" si="0"/>
        <v>1.8799999999999955</v>
      </c>
      <c r="H4" s="12" t="str">
        <f t="shared" si="1"/>
        <v>Improved</v>
      </c>
    </row>
    <row r="5" spans="1:13" ht="21.75" customHeight="1" x14ac:dyDescent="0.3">
      <c r="A5" s="1" t="s">
        <v>5</v>
      </c>
      <c r="B5" s="2" t="s">
        <v>23</v>
      </c>
      <c r="C5" s="3">
        <v>96.78</v>
      </c>
      <c r="D5" s="1" t="s">
        <v>5</v>
      </c>
      <c r="E5" s="2" t="s">
        <v>23</v>
      </c>
      <c r="F5" s="3">
        <v>98.44</v>
      </c>
      <c r="G5" s="4">
        <f t="shared" si="0"/>
        <v>1.6599999999999966</v>
      </c>
      <c r="H5" s="12" t="str">
        <f t="shared" si="1"/>
        <v>Improved</v>
      </c>
    </row>
    <row r="6" spans="1:13" ht="21.75" customHeight="1" x14ac:dyDescent="0.3">
      <c r="A6" s="1" t="s">
        <v>6</v>
      </c>
      <c r="B6" s="2" t="s">
        <v>23</v>
      </c>
      <c r="C6" s="3">
        <v>96.52</v>
      </c>
      <c r="D6" s="1" t="s">
        <v>6</v>
      </c>
      <c r="E6" s="2" t="s">
        <v>23</v>
      </c>
      <c r="F6" s="3">
        <v>98.24</v>
      </c>
      <c r="G6" s="4">
        <f t="shared" si="0"/>
        <v>1.7199999999999989</v>
      </c>
      <c r="H6" s="12" t="str">
        <f t="shared" si="1"/>
        <v>Improved</v>
      </c>
    </row>
    <row r="7" spans="1:13" ht="21.75" customHeight="1" x14ac:dyDescent="0.3">
      <c r="A7" s="1" t="s">
        <v>7</v>
      </c>
      <c r="B7" s="2" t="s">
        <v>23</v>
      </c>
      <c r="C7" s="3">
        <v>95.11</v>
      </c>
      <c r="D7" s="1" t="s">
        <v>7</v>
      </c>
      <c r="E7" s="2" t="s">
        <v>23</v>
      </c>
      <c r="F7" s="3">
        <v>96.96</v>
      </c>
      <c r="G7" s="4">
        <f t="shared" si="0"/>
        <v>1.8499999999999943</v>
      </c>
      <c r="H7" s="12" t="str">
        <f t="shared" si="1"/>
        <v>Improved</v>
      </c>
    </row>
    <row r="8" spans="1:13" ht="21.75" customHeight="1" x14ac:dyDescent="0.3">
      <c r="A8" s="1" t="s">
        <v>8</v>
      </c>
      <c r="B8" s="2" t="s">
        <v>23</v>
      </c>
      <c r="C8" s="3">
        <v>95.19</v>
      </c>
      <c r="D8" s="1" t="s">
        <v>8</v>
      </c>
      <c r="E8" s="2" t="s">
        <v>23</v>
      </c>
      <c r="F8" s="3">
        <v>96.92</v>
      </c>
      <c r="G8" s="4">
        <f t="shared" si="0"/>
        <v>1.730000000000004</v>
      </c>
      <c r="H8" s="12" t="str">
        <f t="shared" si="1"/>
        <v>Improved</v>
      </c>
    </row>
    <row r="9" spans="1:13" ht="21.75" customHeight="1" x14ac:dyDescent="0.3">
      <c r="A9" s="1" t="s">
        <v>9</v>
      </c>
      <c r="B9" s="2" t="s">
        <v>23</v>
      </c>
      <c r="C9" s="3">
        <v>94.33</v>
      </c>
      <c r="D9" s="1" t="s">
        <v>9</v>
      </c>
      <c r="E9" s="2" t="s">
        <v>23</v>
      </c>
      <c r="F9" s="3">
        <v>96.13</v>
      </c>
      <c r="G9" s="4">
        <f t="shared" si="0"/>
        <v>1.7999999999999972</v>
      </c>
      <c r="H9" s="12" t="str">
        <f t="shared" si="1"/>
        <v>Improved</v>
      </c>
    </row>
    <row r="10" spans="1:13" ht="21.75" customHeight="1" x14ac:dyDescent="0.3">
      <c r="A10" s="1" t="s">
        <v>10</v>
      </c>
      <c r="B10" s="2" t="s">
        <v>23</v>
      </c>
      <c r="C10" s="3">
        <v>96.25</v>
      </c>
      <c r="D10" s="1" t="s">
        <v>10</v>
      </c>
      <c r="E10" s="2" t="s">
        <v>23</v>
      </c>
      <c r="F10" s="3">
        <v>98</v>
      </c>
      <c r="G10" s="4">
        <f t="shared" si="0"/>
        <v>1.75</v>
      </c>
      <c r="H10" s="12" t="str">
        <f t="shared" si="1"/>
        <v>Improved</v>
      </c>
    </row>
    <row r="11" spans="1:13" ht="21.75" customHeight="1" x14ac:dyDescent="0.3">
      <c r="A11" s="1" t="s">
        <v>11</v>
      </c>
      <c r="B11" s="2" t="s">
        <v>23</v>
      </c>
      <c r="C11" s="3">
        <v>94.34</v>
      </c>
      <c r="D11" s="1" t="s">
        <v>11</v>
      </c>
      <c r="E11" s="2" t="s">
        <v>23</v>
      </c>
      <c r="F11" s="3">
        <v>95.94</v>
      </c>
      <c r="G11" s="4">
        <f t="shared" si="0"/>
        <v>1.5999999999999943</v>
      </c>
      <c r="H11" s="12" t="str">
        <f t="shared" si="1"/>
        <v>Improved</v>
      </c>
    </row>
    <row r="12" spans="1:13" ht="21.75" customHeight="1" x14ac:dyDescent="0.3">
      <c r="A12" s="1" t="s">
        <v>12</v>
      </c>
      <c r="B12" s="2" t="s">
        <v>23</v>
      </c>
      <c r="C12" s="3">
        <v>97.45</v>
      </c>
      <c r="D12" s="1" t="s">
        <v>12</v>
      </c>
      <c r="E12" s="2" t="s">
        <v>23</v>
      </c>
      <c r="F12" s="3">
        <v>99.09</v>
      </c>
      <c r="G12" s="4">
        <f t="shared" si="0"/>
        <v>1.6400000000000006</v>
      </c>
      <c r="H12" s="12" t="str">
        <f t="shared" si="1"/>
        <v>Improved</v>
      </c>
    </row>
    <row r="13" spans="1:13" ht="21.75" customHeight="1" x14ac:dyDescent="0.3">
      <c r="A13" s="1" t="s">
        <v>13</v>
      </c>
      <c r="B13" s="2" t="s">
        <v>23</v>
      </c>
      <c r="C13" s="3">
        <v>95.14</v>
      </c>
      <c r="D13" s="1" t="s">
        <v>13</v>
      </c>
      <c r="E13" s="2" t="s">
        <v>23</v>
      </c>
      <c r="F13" s="3">
        <v>96.94</v>
      </c>
      <c r="G13" s="4">
        <f t="shared" si="0"/>
        <v>1.7999999999999972</v>
      </c>
      <c r="H13" s="12" t="str">
        <f t="shared" si="1"/>
        <v>Improved</v>
      </c>
    </row>
    <row r="14" spans="1:13" ht="21.75" customHeight="1" x14ac:dyDescent="0.3">
      <c r="A14" s="1" t="s">
        <v>14</v>
      </c>
      <c r="B14" s="2" t="s">
        <v>23</v>
      </c>
      <c r="C14" s="3">
        <v>93.83</v>
      </c>
      <c r="D14" s="1" t="s">
        <v>14</v>
      </c>
      <c r="E14" s="2" t="s">
        <v>23</v>
      </c>
      <c r="F14" s="3">
        <v>95.79</v>
      </c>
      <c r="G14" s="4">
        <f t="shared" si="0"/>
        <v>1.960000000000008</v>
      </c>
      <c r="H14" s="12" t="str">
        <f t="shared" si="1"/>
        <v>Improved</v>
      </c>
    </row>
    <row r="15" spans="1:13" ht="21.75" customHeight="1" x14ac:dyDescent="0.3">
      <c r="A15" s="1" t="s">
        <v>15</v>
      </c>
      <c r="B15" s="2" t="s">
        <v>23</v>
      </c>
      <c r="C15" s="3">
        <v>94</v>
      </c>
      <c r="D15" s="1" t="s">
        <v>15</v>
      </c>
      <c r="E15" s="2" t="s">
        <v>23</v>
      </c>
      <c r="F15" s="3">
        <v>95.94</v>
      </c>
      <c r="G15" s="4">
        <f t="shared" si="0"/>
        <v>1.9399999999999977</v>
      </c>
      <c r="H15" s="12" t="str">
        <f t="shared" si="1"/>
        <v>Improved</v>
      </c>
    </row>
    <row r="16" spans="1:13" ht="21.75" customHeight="1" x14ac:dyDescent="0.3">
      <c r="A16" s="1" t="s">
        <v>16</v>
      </c>
      <c r="B16" s="2" t="s">
        <v>23</v>
      </c>
      <c r="C16" s="3">
        <v>95.4</v>
      </c>
      <c r="D16" s="1" t="s">
        <v>16</v>
      </c>
      <c r="E16" s="2" t="s">
        <v>23</v>
      </c>
      <c r="F16" s="3">
        <v>97.17</v>
      </c>
      <c r="G16" s="4">
        <f t="shared" si="0"/>
        <v>1.769999999999996</v>
      </c>
      <c r="H16" s="12" t="str">
        <f t="shared" si="1"/>
        <v>Improved</v>
      </c>
    </row>
    <row r="17" spans="1:8" ht="21.75" customHeight="1" x14ac:dyDescent="0.3">
      <c r="A17" s="1" t="s">
        <v>17</v>
      </c>
      <c r="B17" s="2" t="s">
        <v>23</v>
      </c>
      <c r="C17" s="3">
        <v>97.15</v>
      </c>
      <c r="D17" s="1" t="s">
        <v>17</v>
      </c>
      <c r="E17" s="2" t="s">
        <v>23</v>
      </c>
      <c r="F17" s="3">
        <v>98.8</v>
      </c>
      <c r="G17" s="4">
        <f t="shared" si="0"/>
        <v>1.6499999999999915</v>
      </c>
      <c r="H17" s="12" t="str">
        <f t="shared" si="1"/>
        <v>Improved</v>
      </c>
    </row>
    <row r="18" spans="1:8" ht="21.75" customHeight="1" x14ac:dyDescent="0.3">
      <c r="A18" s="1" t="s">
        <v>18</v>
      </c>
      <c r="B18" s="2" t="s">
        <v>23</v>
      </c>
      <c r="C18" s="3">
        <v>94.77</v>
      </c>
      <c r="D18" s="1" t="s">
        <v>18</v>
      </c>
      <c r="E18" s="2" t="s">
        <v>23</v>
      </c>
      <c r="F18" s="3">
        <v>96.68</v>
      </c>
      <c r="G18" s="4">
        <f t="shared" si="0"/>
        <v>1.9100000000000108</v>
      </c>
      <c r="H18" s="12" t="str">
        <f t="shared" si="1"/>
        <v>Improved</v>
      </c>
    </row>
    <row r="19" spans="1:8" ht="21.75" customHeight="1" x14ac:dyDescent="0.3">
      <c r="A19" s="1" t="s">
        <v>19</v>
      </c>
      <c r="B19" s="2" t="s">
        <v>23</v>
      </c>
      <c r="C19" s="3">
        <v>95.37</v>
      </c>
      <c r="D19" s="1" t="s">
        <v>19</v>
      </c>
      <c r="E19" s="2" t="s">
        <v>23</v>
      </c>
      <c r="F19" s="3">
        <v>97.2</v>
      </c>
      <c r="G19" s="4">
        <f t="shared" si="0"/>
        <v>1.8299999999999983</v>
      </c>
      <c r="H19" s="12" t="str">
        <f t="shared" si="1"/>
        <v>Improved</v>
      </c>
    </row>
    <row r="20" spans="1:8" ht="21.75" customHeight="1" x14ac:dyDescent="0.3">
      <c r="A20" s="1" t="s">
        <v>20</v>
      </c>
      <c r="B20" s="2" t="s">
        <v>23</v>
      </c>
      <c r="C20" s="3">
        <v>94.45</v>
      </c>
      <c r="D20" s="1" t="s">
        <v>20</v>
      </c>
      <c r="E20" s="2" t="s">
        <v>23</v>
      </c>
      <c r="F20" s="3">
        <v>96.33</v>
      </c>
      <c r="G20" s="4">
        <f t="shared" si="0"/>
        <v>1.8799999999999955</v>
      </c>
      <c r="H20" s="12" t="str">
        <f t="shared" si="1"/>
        <v>Improved</v>
      </c>
    </row>
    <row r="21" spans="1:8" ht="21.75" customHeight="1" x14ac:dyDescent="0.3">
      <c r="A21" s="1" t="s">
        <v>21</v>
      </c>
      <c r="B21" s="2" t="s">
        <v>23</v>
      </c>
      <c r="C21" s="3">
        <v>95.43</v>
      </c>
      <c r="D21" s="1" t="s">
        <v>21</v>
      </c>
      <c r="E21" s="2" t="s">
        <v>23</v>
      </c>
      <c r="F21" s="3">
        <v>97.29</v>
      </c>
      <c r="G21" s="4">
        <f t="shared" si="0"/>
        <v>1.8599999999999994</v>
      </c>
      <c r="H21" s="12" t="str">
        <f t="shared" si="1"/>
        <v>Improved</v>
      </c>
    </row>
    <row r="22" spans="1:8" ht="21.75" customHeight="1" x14ac:dyDescent="0.3">
      <c r="A22" s="1" t="s">
        <v>22</v>
      </c>
      <c r="B22" s="2" t="s">
        <v>23</v>
      </c>
      <c r="C22" s="3">
        <v>93.43</v>
      </c>
      <c r="D22" s="1" t="s">
        <v>22</v>
      </c>
      <c r="E22" s="2" t="s">
        <v>23</v>
      </c>
      <c r="F22" s="3">
        <v>95.42</v>
      </c>
      <c r="G22" s="4">
        <f t="shared" si="0"/>
        <v>1.9899999999999949</v>
      </c>
      <c r="H22" s="12" t="str">
        <f t="shared" si="1"/>
        <v>Improved</v>
      </c>
    </row>
  </sheetData>
  <conditionalFormatting sqref="G2:G22">
    <cfRule type="cellIs" dxfId="3" priority="4" operator="lessThan">
      <formula>0</formula>
    </cfRule>
  </conditionalFormatting>
  <conditionalFormatting sqref="H2:H22">
    <cfRule type="containsText" dxfId="2" priority="1" stopIfTrue="1" operator="containsText" text="Maintained">
      <formula>NOT(ISERROR(SEARCH("Maintained",H2)))</formula>
    </cfRule>
    <cfRule type="containsText" dxfId="1" priority="2" stopIfTrue="1" operator="containsText" text="Improved">
      <formula>NOT(ISERROR(SEARCH("Improved",H2)))</formula>
    </cfRule>
    <cfRule type="containsText" dxfId="0" priority="3" stopIfTrue="1" operator="containsText" text="Declined">
      <formula>NOT(ISERROR(SEARCH("Declined",H2)))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ف2-ف1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SHAIKHAH AHMED HASSAN HUSAIN    ALHASSANI</dc:creator>
  <cp:lastModifiedBy>Lenovo</cp:lastModifiedBy>
  <dcterms:created xsi:type="dcterms:W3CDTF">2026-05-11T06:33:15Z</dcterms:created>
  <dcterms:modified xsi:type="dcterms:W3CDTF">2026-05-24T19:40:37Z</dcterms:modified>
</cp:coreProperties>
</file>